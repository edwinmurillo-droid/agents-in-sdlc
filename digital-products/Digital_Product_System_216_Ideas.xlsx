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 Summary" sheetId="1" state="visible" r:id="rId1"/>
    <sheet name="Assumptions" sheetId="2" state="visible" r:id="rId2"/>
    <sheet name="Product Ideas" sheetId="3" state="visible" r:id="rId3"/>
  </sheets>
  <definedNames>
    <definedName name="_xlnm._FilterDatabase" localSheetId="2" hidden="1">'Product Ideas'!$A$1:$P$217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;(₹#,##0);&quot;-&quot;"/>
    <numFmt numFmtId="165" formatCode="0.0%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6" fontId="3" fillId="0" borderId="1" pivotButton="0" quotePrefix="0" xfId="0"/>
    <xf numFmtId="164" fontId="3" fillId="0" borderId="1" pivotButton="0" quotePrefix="0" xfId="0"/>
    <xf numFmtId="0" fontId="0" fillId="5" borderId="1" pivotButton="0" quotePrefix="0" xfId="0"/>
    <xf numFmtId="0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0" fontId="4" fillId="3" borderId="1" pivotButton="0" quotePrefix="0" xfId="0"/>
    <xf numFmtId="164" fontId="5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166" fontId="3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G1" authorId="0" shapeId="0">
      <text>
        <t>Estimated one-time cost to build version 1 (tools, freelancers, expert review). Your own time is not counted. Blue = editable estimate.</t>
      </text>
    </comment>
    <comment ref="H1" authorId="0" shapeId="0">
      <text>
        <t>Suggested launch price in India. For subscriptions it's the monthly price; for licences it's the per-licence price.</t>
      </text>
    </comment>
    <comment ref="K1" authorId="0" shapeId="0">
      <text>
        <t>Gross revenue target on the Assumptions sheet ÷ selling price, rounded up.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1" customWidth="1" min="3" max="3"/>
    <col width="16" customWidth="1" min="4" max="4"/>
    <col width="14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Digital Product System - 12 Segments, 217 Product Ideas</t>
        </is>
      </c>
    </row>
    <row r="2">
      <c r="A2" s="2" t="inlineStr">
        <is>
          <t>Every number below is a formula that reads from the 'Product Ideas' and 'Assumptions' sheets.</t>
        </is>
      </c>
    </row>
    <row r="4" ht="32" customHeight="1">
      <c r="A4" s="3" t="inlineStr">
        <is>
          <t>#</t>
        </is>
      </c>
      <c r="B4" s="3" t="inlineStr">
        <is>
          <t>Segment</t>
        </is>
      </c>
      <c r="C4" s="3" t="inlineStr">
        <is>
          <t>No. of Ideas</t>
        </is>
      </c>
      <c r="D4" s="3" t="inlineStr">
        <is>
          <t>Avg Creation Cost (₹)</t>
        </is>
      </c>
      <c r="E4" s="3" t="inlineStr">
        <is>
          <t>Lowest Price (₹)</t>
        </is>
      </c>
      <c r="F4" s="3" t="inlineStr">
        <is>
          <t>Highest Price (₹)</t>
        </is>
      </c>
      <c r="G4" s="3" t="inlineStr">
        <is>
          <t>Avg Selling Price (₹)</t>
        </is>
      </c>
      <c r="H4" s="3" t="inlineStr">
        <is>
          <t>Total Cost to Build All (₹)</t>
        </is>
      </c>
      <c r="I4" s="3" t="inlineStr">
        <is>
          <t>Avg Units for ₹2L</t>
        </is>
      </c>
      <c r="J4" s="3" t="inlineStr">
        <is>
          <t>Avg Units for ₹10L</t>
        </is>
      </c>
    </row>
    <row r="5">
      <c r="A5" s="4" t="n">
        <v>1</v>
      </c>
      <c r="B5" s="4" t="inlineStr">
        <is>
          <t>Templates &amp; Spreadsheets</t>
        </is>
      </c>
      <c r="C5" s="5">
        <f>COUNTIF('Product Ideas'!$B$2:$B$217,B5)</f>
        <v/>
      </c>
      <c r="D5" s="6">
        <f>AVERAGEIF('Product Ideas'!$B$2:$B$217,B5,'Product Ideas'!$G$2:$G$217)</f>
        <v/>
      </c>
      <c r="E5" s="6">
        <f>_xlfn.MINIFS('Product Ideas'!$H$2:$H$217,'Product Ideas'!$B$2:$B$217,B5)</f>
        <v/>
      </c>
      <c r="F5" s="6">
        <f>_xlfn.MAXIFS('Product Ideas'!$H$2:$H$217,'Product Ideas'!$B$2:$B$217,B5)</f>
        <v/>
      </c>
      <c r="G5" s="6">
        <f>AVERAGEIF('Product Ideas'!$B$2:$B$217,B5,'Product Ideas'!$H$2:$H$217)</f>
        <v/>
      </c>
      <c r="H5" s="6">
        <f>SUMIF('Product Ideas'!$B$2:$B$217,B5,'Product Ideas'!$G$2:$G$217)</f>
        <v/>
      </c>
      <c r="I5" s="5">
        <f>AVERAGEIF('Product Ideas'!$B$2:$B$217,B5,'Product Ideas'!$K$2:$K$217)</f>
        <v/>
      </c>
      <c r="J5" s="5">
        <f>AVERAGEIF('Product Ideas'!$B$2:$B$217,B5,'Product Ideas'!$L$2:$L$217)</f>
        <v/>
      </c>
    </row>
    <row r="6">
      <c r="A6" s="4" t="n">
        <v>2</v>
      </c>
      <c r="B6" s="4" t="inlineStr">
        <is>
          <t>Business &amp; Corporate Toolkits</t>
        </is>
      </c>
      <c r="C6" s="5">
        <f>COUNTIF('Product Ideas'!$B$2:$B$217,B6)</f>
        <v/>
      </c>
      <c r="D6" s="6">
        <f>AVERAGEIF('Product Ideas'!$B$2:$B$217,B6,'Product Ideas'!$G$2:$G$217)</f>
        <v/>
      </c>
      <c r="E6" s="6">
        <f>_xlfn.MINIFS('Product Ideas'!$H$2:$H$217,'Product Ideas'!$B$2:$B$217,B6)</f>
        <v/>
      </c>
      <c r="F6" s="6">
        <f>_xlfn.MAXIFS('Product Ideas'!$H$2:$H$217,'Product Ideas'!$B$2:$B$217,B6)</f>
        <v/>
      </c>
      <c r="G6" s="6">
        <f>AVERAGEIF('Product Ideas'!$B$2:$B$217,B6,'Product Ideas'!$H$2:$H$217)</f>
        <v/>
      </c>
      <c r="H6" s="6">
        <f>SUMIF('Product Ideas'!$B$2:$B$217,B6,'Product Ideas'!$G$2:$G$217)</f>
        <v/>
      </c>
      <c r="I6" s="5">
        <f>AVERAGEIF('Product Ideas'!$B$2:$B$217,B6,'Product Ideas'!$K$2:$K$217)</f>
        <v/>
      </c>
      <c r="J6" s="5">
        <f>AVERAGEIF('Product Ideas'!$B$2:$B$217,B6,'Product Ideas'!$L$2:$L$217)</f>
        <v/>
      </c>
    </row>
    <row r="7">
      <c r="A7" s="4" t="n">
        <v>3</v>
      </c>
      <c r="B7" s="4" t="inlineStr">
        <is>
          <t>Online Courses &amp; Workshops</t>
        </is>
      </c>
      <c r="C7" s="5">
        <f>COUNTIF('Product Ideas'!$B$2:$B$217,B7)</f>
        <v/>
      </c>
      <c r="D7" s="6">
        <f>AVERAGEIF('Product Ideas'!$B$2:$B$217,B7,'Product Ideas'!$G$2:$G$217)</f>
        <v/>
      </c>
      <c r="E7" s="6">
        <f>_xlfn.MINIFS('Product Ideas'!$H$2:$H$217,'Product Ideas'!$B$2:$B$217,B7)</f>
        <v/>
      </c>
      <c r="F7" s="6">
        <f>_xlfn.MAXIFS('Product Ideas'!$H$2:$H$217,'Product Ideas'!$B$2:$B$217,B7)</f>
        <v/>
      </c>
      <c r="G7" s="6">
        <f>AVERAGEIF('Product Ideas'!$B$2:$B$217,B7,'Product Ideas'!$H$2:$H$217)</f>
        <v/>
      </c>
      <c r="H7" s="6">
        <f>SUMIF('Product Ideas'!$B$2:$B$217,B7,'Product Ideas'!$G$2:$G$217)</f>
        <v/>
      </c>
      <c r="I7" s="5">
        <f>AVERAGEIF('Product Ideas'!$B$2:$B$217,B7,'Product Ideas'!$K$2:$K$217)</f>
        <v/>
      </c>
      <c r="J7" s="5">
        <f>AVERAGEIF('Product Ideas'!$B$2:$B$217,B7,'Product Ideas'!$L$2:$L$217)</f>
        <v/>
      </c>
    </row>
    <row r="8">
      <c r="A8" s="4" t="n">
        <v>4</v>
      </c>
      <c r="B8" s="4" t="inlineStr">
        <is>
          <t>eBooks &amp; Guides</t>
        </is>
      </c>
      <c r="C8" s="5">
        <f>COUNTIF('Product Ideas'!$B$2:$B$217,B8)</f>
        <v/>
      </c>
      <c r="D8" s="6">
        <f>AVERAGEIF('Product Ideas'!$B$2:$B$217,B8,'Product Ideas'!$G$2:$G$217)</f>
        <v/>
      </c>
      <c r="E8" s="6">
        <f>_xlfn.MINIFS('Product Ideas'!$H$2:$H$217,'Product Ideas'!$B$2:$B$217,B8)</f>
        <v/>
      </c>
      <c r="F8" s="6">
        <f>_xlfn.MAXIFS('Product Ideas'!$H$2:$H$217,'Product Ideas'!$B$2:$B$217,B8)</f>
        <v/>
      </c>
      <c r="G8" s="6">
        <f>AVERAGEIF('Product Ideas'!$B$2:$B$217,B8,'Product Ideas'!$H$2:$H$217)</f>
        <v/>
      </c>
      <c r="H8" s="6">
        <f>SUMIF('Product Ideas'!$B$2:$B$217,B8,'Product Ideas'!$G$2:$G$217)</f>
        <v/>
      </c>
      <c r="I8" s="5">
        <f>AVERAGEIF('Product Ideas'!$B$2:$B$217,B8,'Product Ideas'!$K$2:$K$217)</f>
        <v/>
      </c>
      <c r="J8" s="5">
        <f>AVERAGEIF('Product Ideas'!$B$2:$B$217,B8,'Product Ideas'!$L$2:$L$217)</f>
        <v/>
      </c>
    </row>
    <row r="9">
      <c r="A9" s="4" t="n">
        <v>5</v>
      </c>
      <c r="B9" s="4" t="inlineStr">
        <is>
          <t>Software, SaaS Micro-tools &amp; Apps</t>
        </is>
      </c>
      <c r="C9" s="5">
        <f>COUNTIF('Product Ideas'!$B$2:$B$217,B9)</f>
        <v/>
      </c>
      <c r="D9" s="6">
        <f>AVERAGEIF('Product Ideas'!$B$2:$B$217,B9,'Product Ideas'!$G$2:$G$217)</f>
        <v/>
      </c>
      <c r="E9" s="6">
        <f>_xlfn.MINIFS('Product Ideas'!$H$2:$H$217,'Product Ideas'!$B$2:$B$217,B9)</f>
        <v/>
      </c>
      <c r="F9" s="6">
        <f>_xlfn.MAXIFS('Product Ideas'!$H$2:$H$217,'Product Ideas'!$B$2:$B$217,B9)</f>
        <v/>
      </c>
      <c r="G9" s="6">
        <f>AVERAGEIF('Product Ideas'!$B$2:$B$217,B9,'Product Ideas'!$H$2:$H$217)</f>
        <v/>
      </c>
      <c r="H9" s="6">
        <f>SUMIF('Product Ideas'!$B$2:$B$217,B9,'Product Ideas'!$G$2:$G$217)</f>
        <v/>
      </c>
      <c r="I9" s="5">
        <f>AVERAGEIF('Product Ideas'!$B$2:$B$217,B9,'Product Ideas'!$K$2:$K$217)</f>
        <v/>
      </c>
      <c r="J9" s="5">
        <f>AVERAGEIF('Product Ideas'!$B$2:$B$217,B9,'Product Ideas'!$L$2:$L$217)</f>
        <v/>
      </c>
    </row>
    <row r="10">
      <c r="A10" s="4" t="n">
        <v>6</v>
      </c>
      <c r="B10" s="4" t="inlineStr">
        <is>
          <t>AI Prompts, GPTs &amp; Automation</t>
        </is>
      </c>
      <c r="C10" s="5">
        <f>COUNTIF('Product Ideas'!$B$2:$B$217,B10)</f>
        <v/>
      </c>
      <c r="D10" s="6">
        <f>AVERAGEIF('Product Ideas'!$B$2:$B$217,B10,'Product Ideas'!$G$2:$G$217)</f>
        <v/>
      </c>
      <c r="E10" s="6">
        <f>_xlfn.MINIFS('Product Ideas'!$H$2:$H$217,'Product Ideas'!$B$2:$B$217,B10)</f>
        <v/>
      </c>
      <c r="F10" s="6">
        <f>_xlfn.MAXIFS('Product Ideas'!$H$2:$H$217,'Product Ideas'!$B$2:$B$217,B10)</f>
        <v/>
      </c>
      <c r="G10" s="6">
        <f>AVERAGEIF('Product Ideas'!$B$2:$B$217,B10,'Product Ideas'!$H$2:$H$217)</f>
        <v/>
      </c>
      <c r="H10" s="6">
        <f>SUMIF('Product Ideas'!$B$2:$B$217,B10,'Product Ideas'!$G$2:$G$217)</f>
        <v/>
      </c>
      <c r="I10" s="5">
        <f>AVERAGEIF('Product Ideas'!$B$2:$B$217,B10,'Product Ideas'!$K$2:$K$217)</f>
        <v/>
      </c>
      <c r="J10" s="5">
        <f>AVERAGEIF('Product Ideas'!$B$2:$B$217,B10,'Product Ideas'!$L$2:$L$217)</f>
        <v/>
      </c>
    </row>
    <row r="11">
      <c r="A11" s="4" t="n">
        <v>7</v>
      </c>
      <c r="B11" s="4" t="inlineStr">
        <is>
          <t>Design Assets &amp; Graphics</t>
        </is>
      </c>
      <c r="C11" s="5">
        <f>COUNTIF('Product Ideas'!$B$2:$B$217,B11)</f>
        <v/>
      </c>
      <c r="D11" s="6">
        <f>AVERAGEIF('Product Ideas'!$B$2:$B$217,B11,'Product Ideas'!$G$2:$G$217)</f>
        <v/>
      </c>
      <c r="E11" s="6">
        <f>_xlfn.MINIFS('Product Ideas'!$H$2:$H$217,'Product Ideas'!$B$2:$B$217,B11)</f>
        <v/>
      </c>
      <c r="F11" s="6">
        <f>_xlfn.MAXIFS('Product Ideas'!$H$2:$H$217,'Product Ideas'!$B$2:$B$217,B11)</f>
        <v/>
      </c>
      <c r="G11" s="6">
        <f>AVERAGEIF('Product Ideas'!$B$2:$B$217,B11,'Product Ideas'!$H$2:$H$217)</f>
        <v/>
      </c>
      <c r="H11" s="6">
        <f>SUMIF('Product Ideas'!$B$2:$B$217,B11,'Product Ideas'!$G$2:$G$217)</f>
        <v/>
      </c>
      <c r="I11" s="5">
        <f>AVERAGEIF('Product Ideas'!$B$2:$B$217,B11,'Product Ideas'!$K$2:$K$217)</f>
        <v/>
      </c>
      <c r="J11" s="5">
        <f>AVERAGEIF('Product Ideas'!$B$2:$B$217,B11,'Product Ideas'!$L$2:$L$217)</f>
        <v/>
      </c>
    </row>
    <row r="12">
      <c r="A12" s="4" t="n">
        <v>8</v>
      </c>
      <c r="B12" s="4" t="inlineStr">
        <is>
          <t>Marketing &amp; Social Media Kits</t>
        </is>
      </c>
      <c r="C12" s="5">
        <f>COUNTIF('Product Ideas'!$B$2:$B$217,B12)</f>
        <v/>
      </c>
      <c r="D12" s="6">
        <f>AVERAGEIF('Product Ideas'!$B$2:$B$217,B12,'Product Ideas'!$G$2:$G$217)</f>
        <v/>
      </c>
      <c r="E12" s="6">
        <f>_xlfn.MINIFS('Product Ideas'!$H$2:$H$217,'Product Ideas'!$B$2:$B$217,B12)</f>
        <v/>
      </c>
      <c r="F12" s="6">
        <f>_xlfn.MAXIFS('Product Ideas'!$H$2:$H$217,'Product Ideas'!$B$2:$B$217,B12)</f>
        <v/>
      </c>
      <c r="G12" s="6">
        <f>AVERAGEIF('Product Ideas'!$B$2:$B$217,B12,'Product Ideas'!$H$2:$H$217)</f>
        <v/>
      </c>
      <c r="H12" s="6">
        <f>SUMIF('Product Ideas'!$B$2:$B$217,B12,'Product Ideas'!$G$2:$G$217)</f>
        <v/>
      </c>
      <c r="I12" s="5">
        <f>AVERAGEIF('Product Ideas'!$B$2:$B$217,B12,'Product Ideas'!$K$2:$K$217)</f>
        <v/>
      </c>
      <c r="J12" s="5">
        <f>AVERAGEIF('Product Ideas'!$B$2:$B$217,B12,'Product Ideas'!$L$2:$L$217)</f>
        <v/>
      </c>
    </row>
    <row r="13">
      <c r="A13" s="4" t="n">
        <v>9</v>
      </c>
      <c r="B13" s="4" t="inlineStr">
        <is>
          <t>Education &amp; Exam Prep</t>
        </is>
      </c>
      <c r="C13" s="5">
        <f>COUNTIF('Product Ideas'!$B$2:$B$217,B13)</f>
        <v/>
      </c>
      <c r="D13" s="6">
        <f>AVERAGEIF('Product Ideas'!$B$2:$B$217,B13,'Product Ideas'!$G$2:$G$217)</f>
        <v/>
      </c>
      <c r="E13" s="6">
        <f>_xlfn.MINIFS('Product Ideas'!$H$2:$H$217,'Product Ideas'!$B$2:$B$217,B13)</f>
        <v/>
      </c>
      <c r="F13" s="6">
        <f>_xlfn.MAXIFS('Product Ideas'!$H$2:$H$217,'Product Ideas'!$B$2:$B$217,B13)</f>
        <v/>
      </c>
      <c r="G13" s="6">
        <f>AVERAGEIF('Product Ideas'!$B$2:$B$217,B13,'Product Ideas'!$H$2:$H$217)</f>
        <v/>
      </c>
      <c r="H13" s="6">
        <f>SUMIF('Product Ideas'!$B$2:$B$217,B13,'Product Ideas'!$G$2:$G$217)</f>
        <v/>
      </c>
      <c r="I13" s="5">
        <f>AVERAGEIF('Product Ideas'!$B$2:$B$217,B13,'Product Ideas'!$K$2:$K$217)</f>
        <v/>
      </c>
      <c r="J13" s="5">
        <f>AVERAGEIF('Product Ideas'!$B$2:$B$217,B13,'Product Ideas'!$L$2:$L$217)</f>
        <v/>
      </c>
    </row>
    <row r="14">
      <c r="A14" s="4" t="n">
        <v>10</v>
      </c>
      <c r="B14" s="4" t="inlineStr">
        <is>
          <t>Finance, Investing &amp; Tax</t>
        </is>
      </c>
      <c r="C14" s="5">
        <f>COUNTIF('Product Ideas'!$B$2:$B$217,B14)</f>
        <v/>
      </c>
      <c r="D14" s="6">
        <f>AVERAGEIF('Product Ideas'!$B$2:$B$217,B14,'Product Ideas'!$G$2:$G$217)</f>
        <v/>
      </c>
      <c r="E14" s="6">
        <f>_xlfn.MINIFS('Product Ideas'!$H$2:$H$217,'Product Ideas'!$B$2:$B$217,B14)</f>
        <v/>
      </c>
      <c r="F14" s="6">
        <f>_xlfn.MAXIFS('Product Ideas'!$H$2:$H$217,'Product Ideas'!$B$2:$B$217,B14)</f>
        <v/>
      </c>
      <c r="G14" s="6">
        <f>AVERAGEIF('Product Ideas'!$B$2:$B$217,B14,'Product Ideas'!$H$2:$H$217)</f>
        <v/>
      </c>
      <c r="H14" s="6">
        <f>SUMIF('Product Ideas'!$B$2:$B$217,B14,'Product Ideas'!$G$2:$G$217)</f>
        <v/>
      </c>
      <c r="I14" s="5">
        <f>AVERAGEIF('Product Ideas'!$B$2:$B$217,B14,'Product Ideas'!$K$2:$K$217)</f>
        <v/>
      </c>
      <c r="J14" s="5">
        <f>AVERAGEIF('Product Ideas'!$B$2:$B$217,B14,'Product Ideas'!$L$2:$L$217)</f>
        <v/>
      </c>
    </row>
    <row r="15">
      <c r="A15" s="4" t="n">
        <v>11</v>
      </c>
      <c r="B15" s="4" t="inlineStr">
        <is>
          <t>Health, Fitness &amp; Lifestyle</t>
        </is>
      </c>
      <c r="C15" s="5">
        <f>COUNTIF('Product Ideas'!$B$2:$B$217,B15)</f>
        <v/>
      </c>
      <c r="D15" s="6">
        <f>AVERAGEIF('Product Ideas'!$B$2:$B$217,B15,'Product Ideas'!$G$2:$G$217)</f>
        <v/>
      </c>
      <c r="E15" s="6">
        <f>_xlfn.MINIFS('Product Ideas'!$H$2:$H$217,'Product Ideas'!$B$2:$B$217,B15)</f>
        <v/>
      </c>
      <c r="F15" s="6">
        <f>_xlfn.MAXIFS('Product Ideas'!$H$2:$H$217,'Product Ideas'!$B$2:$B$217,B15)</f>
        <v/>
      </c>
      <c r="G15" s="6">
        <f>AVERAGEIF('Product Ideas'!$B$2:$B$217,B15,'Product Ideas'!$H$2:$H$217)</f>
        <v/>
      </c>
      <c r="H15" s="6">
        <f>SUMIF('Product Ideas'!$B$2:$B$217,B15,'Product Ideas'!$G$2:$G$217)</f>
        <v/>
      </c>
      <c r="I15" s="5">
        <f>AVERAGEIF('Product Ideas'!$B$2:$B$217,B15,'Product Ideas'!$K$2:$K$217)</f>
        <v/>
      </c>
      <c r="J15" s="5">
        <f>AVERAGEIF('Product Ideas'!$B$2:$B$217,B15,'Product Ideas'!$L$2:$L$217)</f>
        <v/>
      </c>
    </row>
    <row r="16">
      <c r="A16" s="4" t="n">
        <v>12</v>
      </c>
      <c r="B16" s="4" t="inlineStr">
        <is>
          <t>Creative Media: Audio, Video, Photo &amp; Stock</t>
        </is>
      </c>
      <c r="C16" s="5">
        <f>COUNTIF('Product Ideas'!$B$2:$B$217,B16)</f>
        <v/>
      </c>
      <c r="D16" s="6">
        <f>AVERAGEIF('Product Ideas'!$B$2:$B$217,B16,'Product Ideas'!$G$2:$G$217)</f>
        <v/>
      </c>
      <c r="E16" s="6">
        <f>_xlfn.MINIFS('Product Ideas'!$H$2:$H$217,'Product Ideas'!$B$2:$B$217,B16)</f>
        <v/>
      </c>
      <c r="F16" s="6">
        <f>_xlfn.MAXIFS('Product Ideas'!$H$2:$H$217,'Product Ideas'!$B$2:$B$217,B16)</f>
        <v/>
      </c>
      <c r="G16" s="6">
        <f>AVERAGEIF('Product Ideas'!$B$2:$B$217,B16,'Product Ideas'!$H$2:$H$217)</f>
        <v/>
      </c>
      <c r="H16" s="6">
        <f>SUMIF('Product Ideas'!$B$2:$B$217,B16,'Product Ideas'!$G$2:$G$217)</f>
        <v/>
      </c>
      <c r="I16" s="5">
        <f>AVERAGEIF('Product Ideas'!$B$2:$B$217,B16,'Product Ideas'!$K$2:$K$217)</f>
        <v/>
      </c>
      <c r="J16" s="5">
        <f>AVERAGEIF('Product Ideas'!$B$2:$B$217,B16,'Product Ideas'!$L$2:$L$217)</f>
        <v/>
      </c>
    </row>
    <row r="17">
      <c r="A17" s="7" t="n"/>
      <c r="B17" s="8" t="inlineStr">
        <is>
          <t>TOTAL / OVERALL</t>
        </is>
      </c>
      <c r="C17" s="9">
        <f>SUM(C5:C16)</f>
        <v/>
      </c>
      <c r="D17" s="10">
        <f>AVERAGE('Product Ideas'!$G$2:$G$217)</f>
        <v/>
      </c>
      <c r="E17" s="10">
        <f>MIN('Product Ideas'!$H$2:$H$217)</f>
        <v/>
      </c>
      <c r="F17" s="10">
        <f>MAX('Product Ideas'!$H$2:$H$217)</f>
        <v/>
      </c>
      <c r="G17" s="10">
        <f>AVERAGE('Product Ideas'!$H$2:$H$217)</f>
        <v/>
      </c>
      <c r="H17" s="10">
        <f>SUM(H5:H16)</f>
        <v/>
      </c>
      <c r="I17" s="9">
        <f>AVERAGE('Product Ideas'!$K$2:$K$217)</f>
        <v/>
      </c>
      <c r="J17" s="9">
        <f>AVERAGE('Product Ideas'!$L$2:$L$217)</f>
        <v/>
      </c>
    </row>
    <row r="20">
      <c r="B20" s="11" t="inlineStr">
        <is>
          <t>Example: a 3-product plan to reach ₹2 lakh (edit the blue cells)</t>
        </is>
      </c>
    </row>
    <row r="21">
      <c r="B21" s="12" t="inlineStr">
        <is>
          <t>Product (type an ID from Product Ideas)</t>
        </is>
      </c>
      <c r="C21" s="12" t="inlineStr">
        <is>
          <t>Product ID</t>
        </is>
      </c>
      <c r="D21" s="12" t="inlineStr">
        <is>
          <t>Price (₹)</t>
        </is>
      </c>
      <c r="E21" s="12" t="inlineStr">
        <is>
          <t>Units Sold</t>
        </is>
      </c>
      <c r="F21" s="12" t="inlineStr">
        <is>
          <t>Revenue (₹)</t>
        </is>
      </c>
    </row>
    <row r="22">
      <c r="B22" s="4">
        <f>INDEX('Product Ideas'!$C$2:$C$217,MATCH(C22,'Product Ideas'!$A$2:$A$217,0))</f>
        <v/>
      </c>
      <c r="C22" s="13" t="n">
        <v>1</v>
      </c>
      <c r="D22" s="6">
        <f>INDEX('Product Ideas'!$H$2:$H$217,MATCH(C22,'Product Ideas'!$A$2:$A$217,0))</f>
        <v/>
      </c>
      <c r="E22" s="13" t="n">
        <v>150</v>
      </c>
      <c r="F22" s="6">
        <f>D22*E22</f>
        <v/>
      </c>
    </row>
    <row r="23">
      <c r="B23" s="4">
        <f>INDEX('Product Ideas'!$C$2:$C$217,MATCH(C23,'Product Ideas'!$A$2:$A$217,0))</f>
        <v/>
      </c>
      <c r="C23" s="13" t="n">
        <v>4</v>
      </c>
      <c r="D23" s="6">
        <f>INDEX('Product Ideas'!$H$2:$H$217,MATCH(C23,'Product Ideas'!$A$2:$A$217,0))</f>
        <v/>
      </c>
      <c r="E23" s="13" t="n">
        <v>50</v>
      </c>
      <c r="F23" s="6">
        <f>D23*E23</f>
        <v/>
      </c>
    </row>
    <row r="24">
      <c r="B24" s="4">
        <f>INDEX('Product Ideas'!$C$2:$C$217,MATCH(C24,'Product Ideas'!$A$2:$A$217,0))</f>
        <v/>
      </c>
      <c r="C24" s="13" t="n">
        <v>23</v>
      </c>
      <c r="D24" s="6">
        <f>INDEX('Product Ideas'!$H$2:$H$217,MATCH(C24,'Product Ideas'!$A$2:$A$217,0))</f>
        <v/>
      </c>
      <c r="E24" s="13" t="n">
        <v>25</v>
      </c>
      <c r="F24" s="6">
        <f>D24*E24</f>
        <v/>
      </c>
    </row>
    <row r="25">
      <c r="B25" s="11" t="inlineStr">
        <is>
          <t>Total revenue</t>
        </is>
      </c>
      <c r="F25" s="14">
        <f>SUM(F22:F24)</f>
        <v/>
      </c>
    </row>
    <row r="26">
      <c r="B26" s="15" t="inlineStr">
        <is>
          <t>Progress vs ₹2L target</t>
        </is>
      </c>
      <c r="F26" s="16">
        <f>IF(Assumptions!$B$4&gt;0,F25/Assumptions!$B$4,0)</f>
        <v/>
      </c>
    </row>
    <row r="27">
      <c r="B27" s="15" t="inlineStr">
        <is>
          <t>Progress vs ₹10L target</t>
        </is>
      </c>
      <c r="F27" s="16">
        <f>IF(Assumptions!$B$5&gt;0,F25/Assumptions!$B$5,0)</f>
        <v/>
      </c>
    </row>
    <row r="28">
      <c r="B28" s="15" t="inlineStr">
        <is>
          <t>Ad spend for 3 months (Assumptions)</t>
        </is>
      </c>
      <c r="F28" s="17">
        <f>Assumptions!$B$7*3</f>
        <v/>
      </c>
    </row>
    <row r="29">
      <c r="B29" s="11" t="inlineStr">
        <is>
          <t>Revenue after fees and 3 months of ads</t>
        </is>
      </c>
      <c r="F29" s="14">
        <f>F25*(1-Assumptions!$B$6)-F28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90" customWidth="1" min="3" max="3"/>
  </cols>
  <sheetData>
    <row r="1">
      <c r="A1" s="1" t="inlineStr">
        <is>
          <t>Digital Product System - Assumptions &amp; How to Use</t>
        </is>
      </c>
    </row>
    <row r="3">
      <c r="A3" s="18" t="inlineStr">
        <is>
          <t>Input</t>
        </is>
      </c>
      <c r="B3" s="18" t="inlineStr">
        <is>
          <t>Value</t>
        </is>
      </c>
      <c r="C3" s="18" t="inlineStr">
        <is>
          <t>Note</t>
        </is>
      </c>
    </row>
    <row r="4">
      <c r="A4" s="19" t="inlineStr">
        <is>
          <t>Revenue target - low (₹)</t>
        </is>
      </c>
      <c r="B4" s="20" t="n">
        <v>200000</v>
      </c>
      <c r="C4" s="19" t="inlineStr">
        <is>
          <t>The ₹2 lakh revenue goal you gave</t>
        </is>
      </c>
    </row>
    <row r="5">
      <c r="A5" s="19" t="inlineStr">
        <is>
          <t>Revenue target - high (₹)</t>
        </is>
      </c>
      <c r="B5" s="20" t="n">
        <v>1000000</v>
      </c>
      <c r="C5" s="19" t="inlineStr">
        <is>
          <t>The ₹10 lakh revenue goal you gave</t>
        </is>
      </c>
    </row>
    <row r="6" ht="45" customHeight="1">
      <c r="A6" s="19" t="inlineStr">
        <is>
          <t>Payment gateway + platform fees (% of price)</t>
        </is>
      </c>
      <c r="B6" s="21" t="n">
        <v>0.05</v>
      </c>
      <c r="C6" s="19" t="inlineStr">
        <is>
          <t>Assumption: Razorpay/Cosmofeed/Instamojo charge about 2-3% plus GST, and marketplaces take more. 5% is a safe average. Etsy/Udemy/app stores take 15-50%, so raise this if you sell mainly there.</t>
        </is>
      </c>
    </row>
    <row r="7">
      <c r="A7" s="19" t="inlineStr">
        <is>
          <t>Monthly ad budget per product (₹) - optional</t>
        </is>
      </c>
      <c r="B7" s="20" t="n">
        <v>10000</v>
      </c>
      <c r="C7" s="19" t="inlineStr">
        <is>
          <t>Assumption: a starting Meta/Google ad budget. Only used on the Summary sheet.</t>
        </is>
      </c>
    </row>
    <row r="10" ht="18" customHeight="1">
      <c r="A10" s="22" t="inlineStr">
        <is>
          <t>HOW TO USE THIS SHEET</t>
        </is>
      </c>
    </row>
    <row r="11" ht="30" customHeight="1">
      <c r="A11" s="23" t="inlineStr">
        <is>
          <t>1. Yellow cells with blue text are inputs you can change. Everything else updates on its own.</t>
        </is>
      </c>
    </row>
    <row r="12" ht="30" customHeight="1">
      <c r="A12" s="23" t="inlineStr">
        <is>
          <t>2. On 'Product Ideas', Creation Cost and Selling Price (blue) are my starting estimates. Change them to your own real quotes and prices.</t>
        </is>
      </c>
    </row>
    <row r="13" ht="30" customHeight="1">
      <c r="A13" s="23" t="inlineStr">
        <is>
          <t>3. Creation Cost = one-time money you spend to make version 1: tools (Canva Pro ~₹500/mo, ChatGPT/Claude ~₹2,000/mo), freelancers, expert/lawyer review, and a basic mic/camera for video. Your own time is not counted.</t>
        </is>
      </c>
    </row>
    <row r="14" ht="30" customHeight="1">
      <c r="A14" s="23" t="inlineStr">
        <is>
          <t>4. For subscription or licence items, 'Units' means paid subscriber-months or licences sold. Example: 100 subscribers x 12 months = 1,200 units.</t>
        </is>
      </c>
    </row>
    <row r="15" ht="30" customHeight="1">
      <c r="A15" s="23" t="inlineStr">
        <is>
          <t>5. Filter the Product Ideas sheet by Segment, Pricing Model or Target Audience to shortlist ideas.</t>
        </is>
      </c>
    </row>
    <row r="16" ht="30" customHeight="1">
      <c r="A16" s="23" t="inlineStr">
        <is>
          <t>6. Suggested path to ₹2-10 lakh: pick 1 segment you know, launch 3 products (a low-priced entry product, a mid-priced core product and a premium one), then bundle them.</t>
        </is>
      </c>
    </row>
    <row r="17" ht="30" customHeight="1">
      <c r="A17" s="23" t="inlineStr">
        <is>
          <t>7. Compliance: stock-market content must be education only (SEBI rules). Health/diet products need review by a qualified expert. Legal templates need a lawyer's review. Register for GST once turnover crosses ₹20 lakh (₹10 lakh in special-category states) or when selling through marketplaces that require it.</t>
        </is>
      </c>
    </row>
    <row r="18" ht="30" customHeight="1">
      <c r="A18" s="23" t="inlineStr">
        <is>
          <t>8. Prices are for the Indian market in 2026 and are indicative. Validate each one with a pre-sale or waitlist before building.</t>
        </is>
      </c>
    </row>
  </sheetData>
  <mergeCells count="9">
    <mergeCell ref="A10:C10"/>
    <mergeCell ref="A13:C13"/>
    <mergeCell ref="A11:C11"/>
    <mergeCell ref="A14:C14"/>
    <mergeCell ref="A17:C17"/>
    <mergeCell ref="A18:C18"/>
    <mergeCell ref="A12:C12"/>
    <mergeCell ref="A16:C16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60" customWidth="1" min="4" max="4"/>
    <col width="30" customWidth="1" min="5" max="5"/>
    <col width="18" customWidth="1" min="6" max="6"/>
    <col width="14" customWidth="1" min="7" max="7"/>
    <col width="14" customWidth="1" min="8" max="8"/>
    <col width="14" customWidth="1" min="9" max="9"/>
    <col width="11" customWidth="1" min="10" max="10"/>
    <col width="13" customWidth="1" min="11" max="11"/>
    <col width="13" customWidth="1" min="12" max="12"/>
    <col width="15" customWidth="1" min="13" max="13"/>
    <col width="15" customWidth="1" min="14" max="14"/>
    <col width="40" customWidth="1" min="15" max="15"/>
    <col width="42" customWidth="1" min="16" max="16"/>
  </cols>
  <sheetData>
    <row r="1" ht="45" customHeight="1">
      <c r="A1" s="3" t="inlineStr">
        <is>
          <t>ID</t>
        </is>
      </c>
      <c r="B1" s="3" t="inlineStr">
        <is>
          <t>Segment</t>
        </is>
      </c>
      <c r="C1" s="3" t="inlineStr">
        <is>
          <t>Digital Product Idea</t>
        </is>
      </c>
      <c r="D1" s="3" t="inlineStr">
        <is>
          <t>Detailed Explanation (what it is &amp; why it sells)</t>
        </is>
      </c>
      <c r="E1" s="3" t="inlineStr">
        <is>
          <t>Target Audience</t>
        </is>
      </c>
      <c r="F1" s="3" t="inlineStr">
        <is>
          <t>Pricing Model</t>
        </is>
      </c>
      <c r="G1" s="3" t="inlineStr">
        <is>
          <t>Creation Cost (₹, one-time)</t>
        </is>
      </c>
      <c r="H1" s="3" t="inlineStr">
        <is>
          <t>Selling Price (₹ per unit)</t>
        </is>
      </c>
      <c r="I1" s="3" t="inlineStr">
        <is>
          <t>Net per Sale after Fees (₹)</t>
        </is>
      </c>
      <c r="J1" s="3" t="inlineStr">
        <is>
          <t>Break-even Units</t>
        </is>
      </c>
      <c r="K1" s="3" t="inlineStr">
        <is>
          <t>Units Needed for ₹2L Revenue</t>
        </is>
      </c>
      <c r="L1" s="3" t="inlineStr">
        <is>
          <t>Units Needed for ₹10L Revenue</t>
        </is>
      </c>
      <c r="M1" s="3" t="inlineStr">
        <is>
          <t>Profit at ₹2L Revenue (₹)</t>
        </is>
      </c>
      <c r="N1" s="3" t="inlineStr">
        <is>
          <t>Profit at ₹10L Revenue (₹)</t>
        </is>
      </c>
      <c r="O1" s="3" t="inlineStr">
        <is>
          <t>Tools to Build It</t>
        </is>
      </c>
      <c r="P1" s="3" t="inlineStr">
        <is>
          <t>Where to Sell</t>
        </is>
      </c>
    </row>
    <row r="2">
      <c r="A2" s="24" t="n">
        <v>1</v>
      </c>
      <c r="B2" s="24" t="inlineStr">
        <is>
          <t>Templates &amp; Spreadsheets</t>
        </is>
      </c>
      <c r="C2" s="24" t="inlineStr">
        <is>
          <t>GST Invoice &amp; Billing Excel Template</t>
        </is>
      </c>
      <c r="D2" s="24" t="inlineStr">
        <is>
          <t>Auto-calculates CGST/SGST/IGST, numbers invoices, keeps a customer ledger. Every GST-registered small seller needs clean invoices without paying for software.</t>
        </is>
      </c>
      <c r="E2" s="24" t="inlineStr">
        <is>
          <t>Small traders, freelancers, MSMEs</t>
        </is>
      </c>
      <c r="F2" s="24" t="inlineStr">
        <is>
          <t>One-time</t>
        </is>
      </c>
      <c r="G2" s="25" t="n">
        <v>3000</v>
      </c>
      <c r="H2" s="25" t="n">
        <v>499</v>
      </c>
      <c r="I2" s="26">
        <f>H2*(1-Assumptions!$B$6)</f>
        <v/>
      </c>
      <c r="J2" s="27">
        <f>IF(I2&gt;0,CEILING(G2/I2,1),0)</f>
        <v/>
      </c>
      <c r="K2" s="27">
        <f>IF(H2&gt;0,CEILING(Assumptions!$B$4/H2,1),0)</f>
        <v/>
      </c>
      <c r="L2" s="27">
        <f>IF(H2&gt;0,CEILING(Assumptions!$B$5/H2,1),0)</f>
        <v/>
      </c>
      <c r="M2" s="26">
        <f>Assumptions!$B$4*(1-Assumptions!$B$6)-G2</f>
        <v/>
      </c>
      <c r="N2" s="26">
        <f>Assumptions!$B$5*(1-Assumptions!$B$6)-G2</f>
        <v/>
      </c>
      <c r="O2" s="24" t="inlineStr">
        <is>
          <t>Excel, Google Sheets, Notion, ChatGPT/Claude for formulas</t>
        </is>
      </c>
      <c r="P2" s="24" t="inlineStr">
        <is>
          <t>Own website (Razorpay/Cosmofeed/Gumroad), Etsy, Instagram, WhatsApp groups</t>
        </is>
      </c>
    </row>
    <row r="3">
      <c r="A3" s="19" t="n">
        <v>2</v>
      </c>
      <c r="B3" s="19" t="inlineStr">
        <is>
          <t>Templates &amp; Spreadsheets</t>
        </is>
      </c>
      <c r="C3" s="19" t="inlineStr">
        <is>
          <t>Small Business Accounting Dashboard (Google Sheets)</t>
        </is>
      </c>
      <c r="D3" s="19" t="inlineStr">
        <is>
          <t>P&amp;L, cash-flow, expense categories and monthly charts in one sheet. Gives owners a CFO-style view without hiring an accountant.</t>
        </is>
      </c>
      <c r="E3" s="19" t="inlineStr">
        <is>
          <t>Shop owners, early-stage founders</t>
        </is>
      </c>
      <c r="F3" s="19" t="inlineStr">
        <is>
          <t>One-time</t>
        </is>
      </c>
      <c r="G3" s="28" t="n">
        <v>5000</v>
      </c>
      <c r="H3" s="28" t="n">
        <v>999</v>
      </c>
      <c r="I3" s="29">
        <f>H3*(1-Assumptions!$B$6)</f>
        <v/>
      </c>
      <c r="J3" s="30">
        <f>IF(I3&gt;0,CEILING(G3/I3,1),0)</f>
        <v/>
      </c>
      <c r="K3" s="30">
        <f>IF(H3&gt;0,CEILING(Assumptions!$B$4/H3,1),0)</f>
        <v/>
      </c>
      <c r="L3" s="30">
        <f>IF(H3&gt;0,CEILING(Assumptions!$B$5/H3,1),0)</f>
        <v/>
      </c>
      <c r="M3" s="29">
        <f>Assumptions!$B$4*(1-Assumptions!$B$6)-G3</f>
        <v/>
      </c>
      <c r="N3" s="29">
        <f>Assumptions!$B$5*(1-Assumptions!$B$6)-G3</f>
        <v/>
      </c>
      <c r="O3" s="19" t="inlineStr">
        <is>
          <t>Excel, Google Sheets, Notion, ChatGPT/Claude for formulas</t>
        </is>
      </c>
      <c r="P3" s="19" t="inlineStr">
        <is>
          <t>Own website (Razorpay/Cosmofeed/Gumroad), Etsy, Instagram, WhatsApp groups</t>
        </is>
      </c>
    </row>
    <row r="4">
      <c r="A4" s="24" t="n">
        <v>3</v>
      </c>
      <c r="B4" s="24" t="inlineStr">
        <is>
          <t>Templates &amp; Spreadsheets</t>
        </is>
      </c>
      <c r="C4" s="24" t="inlineStr">
        <is>
          <t>Inventory &amp; Stock Management Sheet</t>
        </is>
      </c>
      <c r="D4" s="24" t="inlineStr">
        <is>
          <t>SKU tracking, reorder-level alerts, supplier list and stock valuation. Stops over-stocking and stock-outs.</t>
        </is>
      </c>
      <c r="E4" s="24" t="inlineStr">
        <is>
          <t>Retailers, D2C sellers, distributors</t>
        </is>
      </c>
      <c r="F4" s="24" t="inlineStr">
        <is>
          <t>One-time</t>
        </is>
      </c>
      <c r="G4" s="25" t="n">
        <v>4000</v>
      </c>
      <c r="H4" s="25" t="n">
        <v>799</v>
      </c>
      <c r="I4" s="26">
        <f>H4*(1-Assumptions!$B$6)</f>
        <v/>
      </c>
      <c r="J4" s="27">
        <f>IF(I4&gt;0,CEILING(G4/I4,1),0)</f>
        <v/>
      </c>
      <c r="K4" s="27">
        <f>IF(H4&gt;0,CEILING(Assumptions!$B$4/H4,1),0)</f>
        <v/>
      </c>
      <c r="L4" s="27">
        <f>IF(H4&gt;0,CEILING(Assumptions!$B$5/H4,1),0)</f>
        <v/>
      </c>
      <c r="M4" s="26">
        <f>Assumptions!$B$4*(1-Assumptions!$B$6)-G4</f>
        <v/>
      </c>
      <c r="N4" s="26">
        <f>Assumptions!$B$5*(1-Assumptions!$B$6)-G4</f>
        <v/>
      </c>
      <c r="O4" s="24" t="inlineStr">
        <is>
          <t>Excel, Google Sheets, Notion, ChatGPT/Claude for formulas</t>
        </is>
      </c>
      <c r="P4" s="24" t="inlineStr">
        <is>
          <t>Own website (Razorpay/Cosmofeed/Gumroad), Etsy, Instagram, WhatsApp groups</t>
        </is>
      </c>
    </row>
    <row r="5">
      <c r="A5" s="19" t="n">
        <v>4</v>
      </c>
      <c r="B5" s="19" t="inlineStr">
        <is>
          <t>Templates &amp; Spreadsheets</t>
        </is>
      </c>
      <c r="C5" s="19" t="inlineStr">
        <is>
          <t>Notion Business Operating System</t>
        </is>
      </c>
      <c r="D5" s="19" t="inlineStr">
        <is>
          <t>Tasks, clients, content, finances and SOPs linked in one Notion workspace. Sells well to people who want to 'run the business from one place'.</t>
        </is>
      </c>
      <c r="E5" s="19" t="inlineStr">
        <is>
          <t>Solopreneurs, creators, agency owners</t>
        </is>
      </c>
      <c r="F5" s="19" t="inlineStr">
        <is>
          <t>One-time</t>
        </is>
      </c>
      <c r="G5" s="28" t="n">
        <v>5000</v>
      </c>
      <c r="H5" s="28" t="n">
        <v>1499</v>
      </c>
      <c r="I5" s="29">
        <f>H5*(1-Assumptions!$B$6)</f>
        <v/>
      </c>
      <c r="J5" s="30">
        <f>IF(I5&gt;0,CEILING(G5/I5,1),0)</f>
        <v/>
      </c>
      <c r="K5" s="30">
        <f>IF(H5&gt;0,CEILING(Assumptions!$B$4/H5,1),0)</f>
        <v/>
      </c>
      <c r="L5" s="30">
        <f>IF(H5&gt;0,CEILING(Assumptions!$B$5/H5,1),0)</f>
        <v/>
      </c>
      <c r="M5" s="29">
        <f>Assumptions!$B$4*(1-Assumptions!$B$6)-G5</f>
        <v/>
      </c>
      <c r="N5" s="29">
        <f>Assumptions!$B$5*(1-Assumptions!$B$6)-G5</f>
        <v/>
      </c>
      <c r="O5" s="19" t="inlineStr">
        <is>
          <t>Excel, Google Sheets, Notion, ChatGPT/Claude for formulas</t>
        </is>
      </c>
      <c r="P5" s="19" t="inlineStr">
        <is>
          <t>Own website (Razorpay/Cosmofeed/Gumroad), Etsy, Instagram, WhatsApp groups</t>
        </is>
      </c>
    </row>
    <row r="6">
      <c r="A6" s="24" t="n">
        <v>5</v>
      </c>
      <c r="B6" s="24" t="inlineStr">
        <is>
          <t>Templates &amp; Spreadsheets</t>
        </is>
      </c>
      <c r="C6" s="24" t="inlineStr">
        <is>
          <t>Personal Budget &amp; Expense Tracker</t>
        </is>
      </c>
      <c r="D6" s="24" t="inlineStr">
        <is>
          <t>Monthly budget, category-wise spending, savings goals and yearly summary with charts.</t>
        </is>
      </c>
      <c r="E6" s="24" t="inlineStr">
        <is>
          <t>Salaried professionals, young couples</t>
        </is>
      </c>
      <c r="F6" s="24" t="inlineStr">
        <is>
          <t>One-time</t>
        </is>
      </c>
      <c r="G6" s="25" t="n">
        <v>2000</v>
      </c>
      <c r="H6" s="25" t="n">
        <v>299</v>
      </c>
      <c r="I6" s="26">
        <f>H6*(1-Assumptions!$B$6)</f>
        <v/>
      </c>
      <c r="J6" s="27">
        <f>IF(I6&gt;0,CEILING(G6/I6,1),0)</f>
        <v/>
      </c>
      <c r="K6" s="27">
        <f>IF(H6&gt;0,CEILING(Assumptions!$B$4/H6,1),0)</f>
        <v/>
      </c>
      <c r="L6" s="27">
        <f>IF(H6&gt;0,CEILING(Assumptions!$B$5/H6,1),0)</f>
        <v/>
      </c>
      <c r="M6" s="26">
        <f>Assumptions!$B$4*(1-Assumptions!$B$6)-G6</f>
        <v/>
      </c>
      <c r="N6" s="26">
        <f>Assumptions!$B$5*(1-Assumptions!$B$6)-G6</f>
        <v/>
      </c>
      <c r="O6" s="24" t="inlineStr">
        <is>
          <t>Excel, Google Sheets, Notion, ChatGPT/Claude for formulas</t>
        </is>
      </c>
      <c r="P6" s="24" t="inlineStr">
        <is>
          <t>Own website (Razorpay/Cosmofeed/Gumroad), Etsy, Instagram, WhatsApp groups</t>
        </is>
      </c>
    </row>
    <row r="7">
      <c r="A7" s="19" t="n">
        <v>6</v>
      </c>
      <c r="B7" s="19" t="inlineStr">
        <is>
          <t>Templates &amp; Spreadsheets</t>
        </is>
      </c>
      <c r="C7" s="19" t="inlineStr">
        <is>
          <t>Project Management Tracker with Gantt Chart</t>
        </is>
      </c>
      <c r="D7" s="19" t="inlineStr">
        <is>
          <t>Tasks, owners, deadlines and an auto-drawn Gantt timeline. Cheaper than paid PM tools for small teams.</t>
        </is>
      </c>
      <c r="E7" s="19" t="inlineStr">
        <is>
          <t>Project managers, agencies, IT teams</t>
        </is>
      </c>
      <c r="F7" s="19" t="inlineStr">
        <is>
          <t>One-time</t>
        </is>
      </c>
      <c r="G7" s="28" t="n">
        <v>3000</v>
      </c>
      <c r="H7" s="28" t="n">
        <v>699</v>
      </c>
      <c r="I7" s="29">
        <f>H7*(1-Assumptions!$B$6)</f>
        <v/>
      </c>
      <c r="J7" s="30">
        <f>IF(I7&gt;0,CEILING(G7/I7,1),0)</f>
        <v/>
      </c>
      <c r="K7" s="30">
        <f>IF(H7&gt;0,CEILING(Assumptions!$B$4/H7,1),0)</f>
        <v/>
      </c>
      <c r="L7" s="30">
        <f>IF(H7&gt;0,CEILING(Assumptions!$B$5/H7,1),0)</f>
        <v/>
      </c>
      <c r="M7" s="29">
        <f>Assumptions!$B$4*(1-Assumptions!$B$6)-G7</f>
        <v/>
      </c>
      <c r="N7" s="29">
        <f>Assumptions!$B$5*(1-Assumptions!$B$6)-G7</f>
        <v/>
      </c>
      <c r="O7" s="19" t="inlineStr">
        <is>
          <t>Excel, Google Sheets, Notion, ChatGPT/Claude for formulas</t>
        </is>
      </c>
      <c r="P7" s="19" t="inlineStr">
        <is>
          <t>Own website (Razorpay/Cosmofeed/Gumroad), Etsy, Instagram, WhatsApp groups</t>
        </is>
      </c>
    </row>
    <row r="8">
      <c r="A8" s="24" t="n">
        <v>7</v>
      </c>
      <c r="B8" s="24" t="inlineStr">
        <is>
          <t>Templates &amp; Spreadsheets</t>
        </is>
      </c>
      <c r="C8" s="24" t="inlineStr">
        <is>
          <t>Sales CRM in Google Sheets</t>
        </is>
      </c>
      <c r="D8" s="24" t="inlineStr">
        <is>
          <t>Lead pipeline, follow-up reminders, deal stages and conversion reports. An easy first CRM for teams not ready for Salesforce/Zoho.</t>
        </is>
      </c>
      <c r="E8" s="24" t="inlineStr">
        <is>
          <t>Sales teams, real-estate &amp; insurance agents</t>
        </is>
      </c>
      <c r="F8" s="24" t="inlineStr">
        <is>
          <t>One-time</t>
        </is>
      </c>
      <c r="G8" s="25" t="n">
        <v>4000</v>
      </c>
      <c r="H8" s="25" t="n">
        <v>999</v>
      </c>
      <c r="I8" s="26">
        <f>H8*(1-Assumptions!$B$6)</f>
        <v/>
      </c>
      <c r="J8" s="27">
        <f>IF(I8&gt;0,CEILING(G8/I8,1),0)</f>
        <v/>
      </c>
      <c r="K8" s="27">
        <f>IF(H8&gt;0,CEILING(Assumptions!$B$4/H8,1),0)</f>
        <v/>
      </c>
      <c r="L8" s="27">
        <f>IF(H8&gt;0,CEILING(Assumptions!$B$5/H8,1),0)</f>
        <v/>
      </c>
      <c r="M8" s="26">
        <f>Assumptions!$B$4*(1-Assumptions!$B$6)-G8</f>
        <v/>
      </c>
      <c r="N8" s="26">
        <f>Assumptions!$B$5*(1-Assumptions!$B$6)-G8</f>
        <v/>
      </c>
      <c r="O8" s="24" t="inlineStr">
        <is>
          <t>Excel, Google Sheets, Notion, ChatGPT/Claude for formulas</t>
        </is>
      </c>
      <c r="P8" s="24" t="inlineStr">
        <is>
          <t>Own website (Razorpay/Cosmofeed/Gumroad), Etsy, Instagram, WhatsApp groups</t>
        </is>
      </c>
    </row>
    <row r="9">
      <c r="A9" s="19" t="n">
        <v>8</v>
      </c>
      <c r="B9" s="19" t="inlineStr">
        <is>
          <t>Templates &amp; Spreadsheets</t>
        </is>
      </c>
      <c r="C9" s="19" t="inlineStr">
        <is>
          <t>Payroll &amp; Salary Slip Generator (PF/ESI/TDS)</t>
        </is>
      </c>
      <c r="D9" s="19" t="inlineStr">
        <is>
          <t>Calculates gross-to-net salary with PF, ESI, PT and TDS and prints salary slips in bulk.</t>
        </is>
      </c>
      <c r="E9" s="19" t="inlineStr">
        <is>
          <t>HR/admin at SMEs with 5-100 staff</t>
        </is>
      </c>
      <c r="F9" s="19" t="inlineStr">
        <is>
          <t>One-time</t>
        </is>
      </c>
      <c r="G9" s="28" t="n">
        <v>6000</v>
      </c>
      <c r="H9" s="28" t="n">
        <v>1499</v>
      </c>
      <c r="I9" s="29">
        <f>H9*(1-Assumptions!$B$6)</f>
        <v/>
      </c>
      <c r="J9" s="30">
        <f>IF(I9&gt;0,CEILING(G9/I9,1),0)</f>
        <v/>
      </c>
      <c r="K9" s="30">
        <f>IF(H9&gt;0,CEILING(Assumptions!$B$4/H9,1),0)</f>
        <v/>
      </c>
      <c r="L9" s="30">
        <f>IF(H9&gt;0,CEILING(Assumptions!$B$5/H9,1),0)</f>
        <v/>
      </c>
      <c r="M9" s="29">
        <f>Assumptions!$B$4*(1-Assumptions!$B$6)-G9</f>
        <v/>
      </c>
      <c r="N9" s="29">
        <f>Assumptions!$B$5*(1-Assumptions!$B$6)-G9</f>
        <v/>
      </c>
      <c r="O9" s="19" t="inlineStr">
        <is>
          <t>Excel, Google Sheets, Notion, ChatGPT/Claude for formulas</t>
        </is>
      </c>
      <c r="P9" s="19" t="inlineStr">
        <is>
          <t>Own website (Razorpay/Cosmofeed/Gumroad), Etsy, Instagram, WhatsApp groups</t>
        </is>
      </c>
    </row>
    <row r="10">
      <c r="A10" s="24" t="n">
        <v>9</v>
      </c>
      <c r="B10" s="24" t="inlineStr">
        <is>
          <t>Templates &amp; Spreadsheets</t>
        </is>
      </c>
      <c r="C10" s="24" t="inlineStr">
        <is>
          <t>Employee Attendance &amp; Leave Tracker</t>
        </is>
      </c>
      <c r="D10" s="24" t="inlineStr">
        <is>
          <t>Daily attendance, leave balances, holidays and a monthly summary per employee.</t>
        </is>
      </c>
      <c r="E10" s="24" t="inlineStr">
        <is>
          <t>HR managers, schools, factories</t>
        </is>
      </c>
      <c r="F10" s="24" t="inlineStr">
        <is>
          <t>One-time</t>
        </is>
      </c>
      <c r="G10" s="25" t="n">
        <v>3000</v>
      </c>
      <c r="H10" s="25" t="n">
        <v>599</v>
      </c>
      <c r="I10" s="26">
        <f>H10*(1-Assumptions!$B$6)</f>
        <v/>
      </c>
      <c r="J10" s="27">
        <f>IF(I10&gt;0,CEILING(G10/I10,1),0)</f>
        <v/>
      </c>
      <c r="K10" s="27">
        <f>IF(H10&gt;0,CEILING(Assumptions!$B$4/H10,1),0)</f>
        <v/>
      </c>
      <c r="L10" s="27">
        <f>IF(H10&gt;0,CEILING(Assumptions!$B$5/H10,1),0)</f>
        <v/>
      </c>
      <c r="M10" s="26">
        <f>Assumptions!$B$4*(1-Assumptions!$B$6)-G10</f>
        <v/>
      </c>
      <c r="N10" s="26">
        <f>Assumptions!$B$5*(1-Assumptions!$B$6)-G10</f>
        <v/>
      </c>
      <c r="O10" s="24" t="inlineStr">
        <is>
          <t>Excel, Google Sheets, Notion, ChatGPT/Claude for formulas</t>
        </is>
      </c>
      <c r="P10" s="24" t="inlineStr">
        <is>
          <t>Own website (Razorpay/Cosmofeed/Gumroad), Etsy, Instagram, WhatsApp groups</t>
        </is>
      </c>
    </row>
    <row r="11">
      <c r="A11" s="19" t="n">
        <v>10</v>
      </c>
      <c r="B11" s="19" t="inlineStr">
        <is>
          <t>Templates &amp; Spreadsheets</t>
        </is>
      </c>
      <c r="C11" s="19" t="inlineStr">
        <is>
          <t>Social Media Content Calendar</t>
        </is>
      </c>
      <c r="D11" s="19" t="inlineStr">
        <is>
          <t>Plan posts by platform, date, format and status, with a hashtag bank and monthly analytics tab.</t>
        </is>
      </c>
      <c r="E11" s="19" t="inlineStr">
        <is>
          <t>Social media managers, creators</t>
        </is>
      </c>
      <c r="F11" s="19" t="inlineStr">
        <is>
          <t>One-time</t>
        </is>
      </c>
      <c r="G11" s="28" t="n">
        <v>2000</v>
      </c>
      <c r="H11" s="28" t="n">
        <v>399</v>
      </c>
      <c r="I11" s="29">
        <f>H11*(1-Assumptions!$B$6)</f>
        <v/>
      </c>
      <c r="J11" s="30">
        <f>IF(I11&gt;0,CEILING(G11/I11,1),0)</f>
        <v/>
      </c>
      <c r="K11" s="30">
        <f>IF(H11&gt;0,CEILING(Assumptions!$B$4/H11,1),0)</f>
        <v/>
      </c>
      <c r="L11" s="30">
        <f>IF(H11&gt;0,CEILING(Assumptions!$B$5/H11,1),0)</f>
        <v/>
      </c>
      <c r="M11" s="29">
        <f>Assumptions!$B$4*(1-Assumptions!$B$6)-G11</f>
        <v/>
      </c>
      <c r="N11" s="29">
        <f>Assumptions!$B$5*(1-Assumptions!$B$6)-G11</f>
        <v/>
      </c>
      <c r="O11" s="19" t="inlineStr">
        <is>
          <t>Excel, Google Sheets, Notion, ChatGPT/Claude for formulas</t>
        </is>
      </c>
      <c r="P11" s="19" t="inlineStr">
        <is>
          <t>Own website (Razorpay/Cosmofeed/Gumroad), Etsy, Instagram, WhatsApp groups</t>
        </is>
      </c>
    </row>
    <row r="12">
      <c r="A12" s="24" t="n">
        <v>11</v>
      </c>
      <c r="B12" s="24" t="inlineStr">
        <is>
          <t>Templates &amp; Spreadsheets</t>
        </is>
      </c>
      <c r="C12" s="24" t="inlineStr">
        <is>
          <t>Wedding Planner &amp; Budget Template</t>
        </is>
      </c>
      <c r="D12" s="24" t="inlineStr">
        <is>
          <t>Guest list, vendor tracker, budget vs actual, and a day-wise function checklist for Indian weddings.</t>
        </is>
      </c>
      <c r="E12" s="24" t="inlineStr">
        <is>
          <t>Engaged couples, wedding planners</t>
        </is>
      </c>
      <c r="F12" s="24" t="inlineStr">
        <is>
          <t>One-time</t>
        </is>
      </c>
      <c r="G12" s="25" t="n">
        <v>2500</v>
      </c>
      <c r="H12" s="25" t="n">
        <v>499</v>
      </c>
      <c r="I12" s="26">
        <f>H12*(1-Assumptions!$B$6)</f>
        <v/>
      </c>
      <c r="J12" s="27">
        <f>IF(I12&gt;0,CEILING(G12/I12,1),0)</f>
        <v/>
      </c>
      <c r="K12" s="27">
        <f>IF(H12&gt;0,CEILING(Assumptions!$B$4/H12,1),0)</f>
        <v/>
      </c>
      <c r="L12" s="27">
        <f>IF(H12&gt;0,CEILING(Assumptions!$B$5/H12,1),0)</f>
        <v/>
      </c>
      <c r="M12" s="26">
        <f>Assumptions!$B$4*(1-Assumptions!$B$6)-G12</f>
        <v/>
      </c>
      <c r="N12" s="26">
        <f>Assumptions!$B$5*(1-Assumptions!$B$6)-G12</f>
        <v/>
      </c>
      <c r="O12" s="24" t="inlineStr">
        <is>
          <t>Excel, Google Sheets, Notion, ChatGPT/Claude for formulas</t>
        </is>
      </c>
      <c r="P12" s="24" t="inlineStr">
        <is>
          <t>Own website (Razorpay/Cosmofeed/Gumroad), Etsy, Instagram, WhatsApp groups</t>
        </is>
      </c>
    </row>
    <row r="13">
      <c r="A13" s="19" t="n">
        <v>12</v>
      </c>
      <c r="B13" s="19" t="inlineStr">
        <is>
          <t>Templates &amp; Spreadsheets</t>
        </is>
      </c>
      <c r="C13" s="19" t="inlineStr">
        <is>
          <t>Restaurant Food Costing &amp; Menu Pricing Sheet</t>
        </is>
      </c>
      <c r="D13" s="19" t="inlineStr">
        <is>
          <t>Recipe-wise cost, plate cost %, and suggested menu price. Restaurants often lose margin without this.</t>
        </is>
      </c>
      <c r="E13" s="19" t="inlineStr">
        <is>
          <t>Restaurant &amp; cloud-kitchen owners</t>
        </is>
      </c>
      <c r="F13" s="19" t="inlineStr">
        <is>
          <t>One-time</t>
        </is>
      </c>
      <c r="G13" s="28" t="n">
        <v>4000</v>
      </c>
      <c r="H13" s="28" t="n">
        <v>999</v>
      </c>
      <c r="I13" s="29">
        <f>H13*(1-Assumptions!$B$6)</f>
        <v/>
      </c>
      <c r="J13" s="30">
        <f>IF(I13&gt;0,CEILING(G13/I13,1),0)</f>
        <v/>
      </c>
      <c r="K13" s="30">
        <f>IF(H13&gt;0,CEILING(Assumptions!$B$4/H13,1),0)</f>
        <v/>
      </c>
      <c r="L13" s="30">
        <f>IF(H13&gt;0,CEILING(Assumptions!$B$5/H13,1),0)</f>
        <v/>
      </c>
      <c r="M13" s="29">
        <f>Assumptions!$B$4*(1-Assumptions!$B$6)-G13</f>
        <v/>
      </c>
      <c r="N13" s="29">
        <f>Assumptions!$B$5*(1-Assumptions!$B$6)-G13</f>
        <v/>
      </c>
      <c r="O13" s="19" t="inlineStr">
        <is>
          <t>Excel, Google Sheets, Notion, ChatGPT/Claude for formulas</t>
        </is>
      </c>
      <c r="P13" s="19" t="inlineStr">
        <is>
          <t>Own website (Razorpay/Cosmofeed/Gumroad), Etsy, Instagram, WhatsApp groups</t>
        </is>
      </c>
    </row>
    <row r="14">
      <c r="A14" s="24" t="n">
        <v>13</v>
      </c>
      <c r="B14" s="24" t="inlineStr">
        <is>
          <t>Templates &amp; Spreadsheets</t>
        </is>
      </c>
      <c r="C14" s="24" t="inlineStr">
        <is>
          <t>Rental Property &amp; PG Manager</t>
        </is>
      </c>
      <c r="D14" s="24" t="inlineStr">
        <is>
          <t>Tenants, rent due, deposits, maintenance log and yearly rental income report.</t>
        </is>
      </c>
      <c r="E14" s="24" t="inlineStr">
        <is>
          <t>Landlords, PG/hostel owners</t>
        </is>
      </c>
      <c r="F14" s="24" t="inlineStr">
        <is>
          <t>One-time</t>
        </is>
      </c>
      <c r="G14" s="25" t="n">
        <v>3000</v>
      </c>
      <c r="H14" s="25" t="n">
        <v>799</v>
      </c>
      <c r="I14" s="26">
        <f>H14*(1-Assumptions!$B$6)</f>
        <v/>
      </c>
      <c r="J14" s="27">
        <f>IF(I14&gt;0,CEILING(G14/I14,1),0)</f>
        <v/>
      </c>
      <c r="K14" s="27">
        <f>IF(H14&gt;0,CEILING(Assumptions!$B$4/H14,1),0)</f>
        <v/>
      </c>
      <c r="L14" s="27">
        <f>IF(H14&gt;0,CEILING(Assumptions!$B$5/H14,1),0)</f>
        <v/>
      </c>
      <c r="M14" s="26">
        <f>Assumptions!$B$4*(1-Assumptions!$B$6)-G14</f>
        <v/>
      </c>
      <c r="N14" s="26">
        <f>Assumptions!$B$5*(1-Assumptions!$B$6)-G14</f>
        <v/>
      </c>
      <c r="O14" s="24" t="inlineStr">
        <is>
          <t>Excel, Google Sheets, Notion, ChatGPT/Claude for formulas</t>
        </is>
      </c>
      <c r="P14" s="24" t="inlineStr">
        <is>
          <t>Own website (Razorpay/Cosmofeed/Gumroad), Etsy, Instagram, WhatsApp groups</t>
        </is>
      </c>
    </row>
    <row r="15">
      <c r="A15" s="19" t="n">
        <v>14</v>
      </c>
      <c r="B15" s="19" t="inlineStr">
        <is>
          <t>Templates &amp; Spreadsheets</t>
        </is>
      </c>
      <c r="C15" s="19" t="inlineStr">
        <is>
          <t>Student Study Planner &amp; Habit Tracker</t>
        </is>
      </c>
      <c r="D15" s="19" t="inlineStr">
        <is>
          <t>Printable + Notion planner with syllabus tracker, revision schedule and habit streaks.</t>
        </is>
      </c>
      <c r="E15" s="19" t="inlineStr">
        <is>
          <t>School/college students, exam aspirants</t>
        </is>
      </c>
      <c r="F15" s="19" t="inlineStr">
        <is>
          <t>One-time</t>
        </is>
      </c>
      <c r="G15" s="28" t="n">
        <v>1500</v>
      </c>
      <c r="H15" s="28" t="n">
        <v>199</v>
      </c>
      <c r="I15" s="29">
        <f>H15*(1-Assumptions!$B$6)</f>
        <v/>
      </c>
      <c r="J15" s="30">
        <f>IF(I15&gt;0,CEILING(G15/I15,1),0)</f>
        <v/>
      </c>
      <c r="K15" s="30">
        <f>IF(H15&gt;0,CEILING(Assumptions!$B$4/H15,1),0)</f>
        <v/>
      </c>
      <c r="L15" s="30">
        <f>IF(H15&gt;0,CEILING(Assumptions!$B$5/H15,1),0)</f>
        <v/>
      </c>
      <c r="M15" s="29">
        <f>Assumptions!$B$4*(1-Assumptions!$B$6)-G15</f>
        <v/>
      </c>
      <c r="N15" s="29">
        <f>Assumptions!$B$5*(1-Assumptions!$B$6)-G15</f>
        <v/>
      </c>
      <c r="O15" s="19" t="inlineStr">
        <is>
          <t>Excel, Google Sheets, Notion, ChatGPT/Claude for formulas</t>
        </is>
      </c>
      <c r="P15" s="19" t="inlineStr">
        <is>
          <t>Own website (Razorpay/Cosmofeed/Gumroad), Etsy, Instagram, WhatsApp groups</t>
        </is>
      </c>
    </row>
    <row r="16">
      <c r="A16" s="24" t="n">
        <v>15</v>
      </c>
      <c r="B16" s="24" t="inlineStr">
        <is>
          <t>Templates &amp; Spreadsheets</t>
        </is>
      </c>
      <c r="C16" s="24" t="inlineStr">
        <is>
          <t>OKR &amp; KPI Dashboard Template</t>
        </is>
      </c>
      <c r="D16" s="24" t="inlineStr">
        <is>
          <t>Company, team and individual OKRs with progress scoring and a leadership dashboard.</t>
        </is>
      </c>
      <c r="E16" s="24" t="inlineStr">
        <is>
          <t>Startups, corporate team leads</t>
        </is>
      </c>
      <c r="F16" s="24" t="inlineStr">
        <is>
          <t>One-time</t>
        </is>
      </c>
      <c r="G16" s="25" t="n">
        <v>5000</v>
      </c>
      <c r="H16" s="25" t="n">
        <v>1999</v>
      </c>
      <c r="I16" s="26">
        <f>H16*(1-Assumptions!$B$6)</f>
        <v/>
      </c>
      <c r="J16" s="27">
        <f>IF(I16&gt;0,CEILING(G16/I16,1),0)</f>
        <v/>
      </c>
      <c r="K16" s="27">
        <f>IF(H16&gt;0,CEILING(Assumptions!$B$4/H16,1),0)</f>
        <v/>
      </c>
      <c r="L16" s="27">
        <f>IF(H16&gt;0,CEILING(Assumptions!$B$5/H16,1),0)</f>
        <v/>
      </c>
      <c r="M16" s="26">
        <f>Assumptions!$B$4*(1-Assumptions!$B$6)-G16</f>
        <v/>
      </c>
      <c r="N16" s="26">
        <f>Assumptions!$B$5*(1-Assumptions!$B$6)-G16</f>
        <v/>
      </c>
      <c r="O16" s="24" t="inlineStr">
        <is>
          <t>Excel, Google Sheets, Notion, ChatGPT/Claude for formulas</t>
        </is>
      </c>
      <c r="P16" s="24" t="inlineStr">
        <is>
          <t>Own website (Razorpay/Cosmofeed/Gumroad), Etsy, Instagram, WhatsApp groups</t>
        </is>
      </c>
    </row>
    <row r="17">
      <c r="A17" s="19" t="n">
        <v>16</v>
      </c>
      <c r="B17" s="19" t="inlineStr">
        <is>
          <t>Templates &amp; Spreadsheets</t>
        </is>
      </c>
      <c r="C17" s="19" t="inlineStr">
        <is>
          <t>Freelancer Client &amp; Invoice Manager (Notion)</t>
        </is>
      </c>
      <c r="D17" s="19" t="inlineStr">
        <is>
          <t>Client database, project status, invoices, payments received and income reports.</t>
        </is>
      </c>
      <c r="E17" s="19" t="inlineStr">
        <is>
          <t>Freelancers, consultants</t>
        </is>
      </c>
      <c r="F17" s="19" t="inlineStr">
        <is>
          <t>One-time</t>
        </is>
      </c>
      <c r="G17" s="28" t="n">
        <v>3000</v>
      </c>
      <c r="H17" s="28" t="n">
        <v>699</v>
      </c>
      <c r="I17" s="29">
        <f>H17*(1-Assumptions!$B$6)</f>
        <v/>
      </c>
      <c r="J17" s="30">
        <f>IF(I17&gt;0,CEILING(G17/I17,1),0)</f>
        <v/>
      </c>
      <c r="K17" s="30">
        <f>IF(H17&gt;0,CEILING(Assumptions!$B$4/H17,1),0)</f>
        <v/>
      </c>
      <c r="L17" s="30">
        <f>IF(H17&gt;0,CEILING(Assumptions!$B$5/H17,1),0)</f>
        <v/>
      </c>
      <c r="M17" s="29">
        <f>Assumptions!$B$4*(1-Assumptions!$B$6)-G17</f>
        <v/>
      </c>
      <c r="N17" s="29">
        <f>Assumptions!$B$5*(1-Assumptions!$B$6)-G17</f>
        <v/>
      </c>
      <c r="O17" s="19" t="inlineStr">
        <is>
          <t>Excel, Google Sheets, Notion, ChatGPT/Claude for formulas</t>
        </is>
      </c>
      <c r="P17" s="19" t="inlineStr">
        <is>
          <t>Own website (Razorpay/Cosmofeed/Gumroad), Etsy, Instagram, WhatsApp groups</t>
        </is>
      </c>
    </row>
    <row r="18">
      <c r="A18" s="24" t="n">
        <v>17</v>
      </c>
      <c r="B18" s="24" t="inlineStr">
        <is>
          <t>Templates &amp; Spreadsheets</t>
        </is>
      </c>
      <c r="C18" s="24" t="inlineStr">
        <is>
          <t>Event Planning Checklist &amp; Budget Kit</t>
        </is>
      </c>
      <c r="D18" s="24" t="inlineStr">
        <is>
          <t>Timeline, vendor comparison, budget and run-sheet templates for any event.</t>
        </is>
      </c>
      <c r="E18" s="24" t="inlineStr">
        <is>
          <t>Event managers, corporate admin teams</t>
        </is>
      </c>
      <c r="F18" s="24" t="inlineStr">
        <is>
          <t>One-time</t>
        </is>
      </c>
      <c r="G18" s="25" t="n">
        <v>2000</v>
      </c>
      <c r="H18" s="25" t="n">
        <v>499</v>
      </c>
      <c r="I18" s="26">
        <f>H18*(1-Assumptions!$B$6)</f>
        <v/>
      </c>
      <c r="J18" s="27">
        <f>IF(I18&gt;0,CEILING(G18/I18,1),0)</f>
        <v/>
      </c>
      <c r="K18" s="27">
        <f>IF(H18&gt;0,CEILING(Assumptions!$B$4/H18,1),0)</f>
        <v/>
      </c>
      <c r="L18" s="27">
        <f>IF(H18&gt;0,CEILING(Assumptions!$B$5/H18,1),0)</f>
        <v/>
      </c>
      <c r="M18" s="26">
        <f>Assumptions!$B$4*(1-Assumptions!$B$6)-G18</f>
        <v/>
      </c>
      <c r="N18" s="26">
        <f>Assumptions!$B$5*(1-Assumptions!$B$6)-G18</f>
        <v/>
      </c>
      <c r="O18" s="24" t="inlineStr">
        <is>
          <t>Excel, Google Sheets, Notion, ChatGPT/Claude for formulas</t>
        </is>
      </c>
      <c r="P18" s="24" t="inlineStr">
        <is>
          <t>Own website (Razorpay/Cosmofeed/Gumroad), Etsy, Instagram, WhatsApp groups</t>
        </is>
      </c>
    </row>
    <row r="19">
      <c r="A19" s="19" t="n">
        <v>18</v>
      </c>
      <c r="B19" s="19" t="inlineStr">
        <is>
          <t>Templates &amp; Spreadsheets</t>
        </is>
      </c>
      <c r="C19" s="19" t="inlineStr">
        <is>
          <t>Loan EMI &amp; Debt Payoff Calculator</t>
        </is>
      </c>
      <c r="D19" s="19" t="inlineStr">
        <is>
          <t>EMI schedule, prepayment savings and snowball/avalanche debt payoff planner.</t>
        </is>
      </c>
      <c r="E19" s="19" t="inlineStr">
        <is>
          <t>Home/personal loan borrowers</t>
        </is>
      </c>
      <c r="F19" s="19" t="inlineStr">
        <is>
          <t>One-time</t>
        </is>
      </c>
      <c r="G19" s="28" t="n">
        <v>2000</v>
      </c>
      <c r="H19" s="28" t="n">
        <v>299</v>
      </c>
      <c r="I19" s="29">
        <f>H19*(1-Assumptions!$B$6)</f>
        <v/>
      </c>
      <c r="J19" s="30">
        <f>IF(I19&gt;0,CEILING(G19/I19,1),0)</f>
        <v/>
      </c>
      <c r="K19" s="30">
        <f>IF(H19&gt;0,CEILING(Assumptions!$B$4/H19,1),0)</f>
        <v/>
      </c>
      <c r="L19" s="30">
        <f>IF(H19&gt;0,CEILING(Assumptions!$B$5/H19,1),0)</f>
        <v/>
      </c>
      <c r="M19" s="29">
        <f>Assumptions!$B$4*(1-Assumptions!$B$6)-G19</f>
        <v/>
      </c>
      <c r="N19" s="29">
        <f>Assumptions!$B$5*(1-Assumptions!$B$6)-G19</f>
        <v/>
      </c>
      <c r="O19" s="19" t="inlineStr">
        <is>
          <t>Excel, Google Sheets, Notion, ChatGPT/Claude for formulas</t>
        </is>
      </c>
      <c r="P19" s="19" t="inlineStr">
        <is>
          <t>Own website (Razorpay/Cosmofeed/Gumroad), Etsy, Instagram, WhatsApp groups</t>
        </is>
      </c>
    </row>
    <row r="20">
      <c r="A20" s="24" t="n">
        <v>19</v>
      </c>
      <c r="B20" s="24" t="inlineStr">
        <is>
          <t>Business &amp; Corporate Toolkits</t>
        </is>
      </c>
      <c r="C20" s="24" t="inlineStr">
        <is>
          <t>HR Policy Handbook (India labour-law aligned)</t>
        </is>
      </c>
      <c r="D20" s="24" t="inlineStr">
        <is>
          <t>Editable handbook: leave, attendance, code of conduct, WFH, travel, exit. Startups need this but don't want to pay a consultant ₹50k.</t>
        </is>
      </c>
      <c r="E20" s="24" t="inlineStr">
        <is>
          <t>Startups, SMEs, HR consultants</t>
        </is>
      </c>
      <c r="F20" s="24" t="inlineStr">
        <is>
          <t>One-time</t>
        </is>
      </c>
      <c r="G20" s="25" t="n">
        <v>8000</v>
      </c>
      <c r="H20" s="25" t="n">
        <v>2999</v>
      </c>
      <c r="I20" s="26">
        <f>H20*(1-Assumptions!$B$6)</f>
        <v/>
      </c>
      <c r="J20" s="27">
        <f>IF(I20&gt;0,CEILING(G20/I20,1),0)</f>
        <v/>
      </c>
      <c r="K20" s="27">
        <f>IF(H20&gt;0,CEILING(Assumptions!$B$4/H20,1),0)</f>
        <v/>
      </c>
      <c r="L20" s="27">
        <f>IF(H20&gt;0,CEILING(Assumptions!$B$5/H20,1),0)</f>
        <v/>
      </c>
      <c r="M20" s="26">
        <f>Assumptions!$B$4*(1-Assumptions!$B$6)-G20</f>
        <v/>
      </c>
      <c r="N20" s="26">
        <f>Assumptions!$B$5*(1-Assumptions!$B$6)-G20</f>
        <v/>
      </c>
      <c r="O20" s="24" t="inlineStr">
        <is>
          <t>MS Word/Google Docs, PowerPoint, Canva, lawyer/CA review for legal-compliance items</t>
        </is>
      </c>
      <c r="P20" s="24" t="inlineStr">
        <is>
          <t>Own website, LinkedIn, direct B2B outreach, IndiaMART, HR/CA communities</t>
        </is>
      </c>
    </row>
    <row r="21">
      <c r="A21" s="19" t="n">
        <v>20</v>
      </c>
      <c r="B21" s="19" t="inlineStr">
        <is>
          <t>Business &amp; Corporate Toolkits</t>
        </is>
      </c>
      <c r="C21" s="19" t="inlineStr">
        <is>
          <t>SOP Library for Small Businesses (50 SOPs)</t>
        </is>
      </c>
      <c r="D21" s="19" t="inlineStr">
        <is>
          <t>Ready SOPs for sales, customer service, accounts, inventory and hiring. Helps owners delegate and scale.</t>
        </is>
      </c>
      <c r="E21" s="19" t="inlineStr">
        <is>
          <t>SME owners, franchise businesses</t>
        </is>
      </c>
      <c r="F21" s="19" t="inlineStr">
        <is>
          <t>One-time</t>
        </is>
      </c>
      <c r="G21" s="28" t="n">
        <v>10000</v>
      </c>
      <c r="H21" s="28" t="n">
        <v>3999</v>
      </c>
      <c r="I21" s="29">
        <f>H21*(1-Assumptions!$B$6)</f>
        <v/>
      </c>
      <c r="J21" s="30">
        <f>IF(I21&gt;0,CEILING(G21/I21,1),0)</f>
        <v/>
      </c>
      <c r="K21" s="30">
        <f>IF(H21&gt;0,CEILING(Assumptions!$B$4/H21,1),0)</f>
        <v/>
      </c>
      <c r="L21" s="30">
        <f>IF(H21&gt;0,CEILING(Assumptions!$B$5/H21,1),0)</f>
        <v/>
      </c>
      <c r="M21" s="29">
        <f>Assumptions!$B$4*(1-Assumptions!$B$6)-G21</f>
        <v/>
      </c>
      <c r="N21" s="29">
        <f>Assumptions!$B$5*(1-Assumptions!$B$6)-G21</f>
        <v/>
      </c>
      <c r="O21" s="19" t="inlineStr">
        <is>
          <t>MS Word/Google Docs, PowerPoint, Canva, lawyer/CA review for legal-compliance items</t>
        </is>
      </c>
      <c r="P21" s="19" t="inlineStr">
        <is>
          <t>Own website, LinkedIn, direct B2B outreach, IndiaMART, HR/CA communities</t>
        </is>
      </c>
    </row>
    <row r="22">
      <c r="A22" s="24" t="n">
        <v>21</v>
      </c>
      <c r="B22" s="24" t="inlineStr">
        <is>
          <t>Business &amp; Corporate Toolkits</t>
        </is>
      </c>
      <c r="C22" s="24" t="inlineStr">
        <is>
          <t>Employee Onboarding Kit</t>
        </is>
      </c>
      <c r="D22" s="24" t="inlineStr">
        <is>
          <t>Offer letter, appointment letter, joining checklist, welcome deck and 30-60-90 day plan.</t>
        </is>
      </c>
      <c r="E22" s="24" t="inlineStr">
        <is>
          <t>HR teams, growing startups</t>
        </is>
      </c>
      <c r="F22" s="24" t="inlineStr">
        <is>
          <t>One-time</t>
        </is>
      </c>
      <c r="G22" s="25" t="n">
        <v>5000</v>
      </c>
      <c r="H22" s="25" t="n">
        <v>1999</v>
      </c>
      <c r="I22" s="26">
        <f>H22*(1-Assumptions!$B$6)</f>
        <v/>
      </c>
      <c r="J22" s="27">
        <f>IF(I22&gt;0,CEILING(G22/I22,1),0)</f>
        <v/>
      </c>
      <c r="K22" s="27">
        <f>IF(H22&gt;0,CEILING(Assumptions!$B$4/H22,1),0)</f>
        <v/>
      </c>
      <c r="L22" s="27">
        <f>IF(H22&gt;0,CEILING(Assumptions!$B$5/H22,1),0)</f>
        <v/>
      </c>
      <c r="M22" s="26">
        <f>Assumptions!$B$4*(1-Assumptions!$B$6)-G22</f>
        <v/>
      </c>
      <c r="N22" s="26">
        <f>Assumptions!$B$5*(1-Assumptions!$B$6)-G22</f>
        <v/>
      </c>
      <c r="O22" s="24" t="inlineStr">
        <is>
          <t>MS Word/Google Docs, PowerPoint, Canva, lawyer/CA review for legal-compliance items</t>
        </is>
      </c>
      <c r="P22" s="24" t="inlineStr">
        <is>
          <t>Own website, LinkedIn, direct B2B outreach, IndiaMART, HR/CA communities</t>
        </is>
      </c>
    </row>
    <row r="23">
      <c r="A23" s="19" t="n">
        <v>22</v>
      </c>
      <c r="B23" s="19" t="inlineStr">
        <is>
          <t>Business &amp; Corporate Toolkits</t>
        </is>
      </c>
      <c r="C23" s="19" t="inlineStr">
        <is>
          <t>Legal Agreement Templates Pack</t>
        </is>
      </c>
      <c r="D23" s="19" t="inlineStr">
        <is>
          <t>NDA, service agreement, freelancer contract, MoU, partnership deed - lawyer-reviewed and editable.</t>
        </is>
      </c>
      <c r="E23" s="19" t="inlineStr">
        <is>
          <t>Freelancers, agencies, startups</t>
        </is>
      </c>
      <c r="F23" s="19" t="inlineStr">
        <is>
          <t>One-time</t>
        </is>
      </c>
      <c r="G23" s="28" t="n">
        <v>15000</v>
      </c>
      <c r="H23" s="28" t="n">
        <v>2499</v>
      </c>
      <c r="I23" s="29">
        <f>H23*(1-Assumptions!$B$6)</f>
        <v/>
      </c>
      <c r="J23" s="30">
        <f>IF(I23&gt;0,CEILING(G23/I23,1),0)</f>
        <v/>
      </c>
      <c r="K23" s="30">
        <f>IF(H23&gt;0,CEILING(Assumptions!$B$4/H23,1),0)</f>
        <v/>
      </c>
      <c r="L23" s="30">
        <f>IF(H23&gt;0,CEILING(Assumptions!$B$5/H23,1),0)</f>
        <v/>
      </c>
      <c r="M23" s="29">
        <f>Assumptions!$B$4*(1-Assumptions!$B$6)-G23</f>
        <v/>
      </c>
      <c r="N23" s="29">
        <f>Assumptions!$B$5*(1-Assumptions!$B$6)-G23</f>
        <v/>
      </c>
      <c r="O23" s="19" t="inlineStr">
        <is>
          <t>MS Word/Google Docs, PowerPoint, Canva, lawyer/CA review for legal-compliance items</t>
        </is>
      </c>
      <c r="P23" s="19" t="inlineStr">
        <is>
          <t>Own website, LinkedIn, direct B2B outreach, IndiaMART, HR/CA communities</t>
        </is>
      </c>
    </row>
    <row r="24">
      <c r="A24" s="24" t="n">
        <v>23</v>
      </c>
      <c r="B24" s="24" t="inlineStr">
        <is>
          <t>Business &amp; Corporate Toolkits</t>
        </is>
      </c>
      <c r="C24" s="24" t="inlineStr">
        <is>
          <t>Startup Pitch Deck Template + Investor Guide</t>
        </is>
      </c>
      <c r="D24" s="24" t="inlineStr">
        <is>
          <t>15-slide investor deck structure with examples and a guide to what investors look for.</t>
        </is>
      </c>
      <c r="E24" s="24" t="inlineStr">
        <is>
          <t>First-time founders</t>
        </is>
      </c>
      <c r="F24" s="24" t="inlineStr">
        <is>
          <t>One-time</t>
        </is>
      </c>
      <c r="G24" s="25" t="n">
        <v>6000</v>
      </c>
      <c r="H24" s="25" t="n">
        <v>1999</v>
      </c>
      <c r="I24" s="26">
        <f>H24*(1-Assumptions!$B$6)</f>
        <v/>
      </c>
      <c r="J24" s="27">
        <f>IF(I24&gt;0,CEILING(G24/I24,1),0)</f>
        <v/>
      </c>
      <c r="K24" s="27">
        <f>IF(H24&gt;0,CEILING(Assumptions!$B$4/H24,1),0)</f>
        <v/>
      </c>
      <c r="L24" s="27">
        <f>IF(H24&gt;0,CEILING(Assumptions!$B$5/H24,1),0)</f>
        <v/>
      </c>
      <c r="M24" s="26">
        <f>Assumptions!$B$4*(1-Assumptions!$B$6)-G24</f>
        <v/>
      </c>
      <c r="N24" s="26">
        <f>Assumptions!$B$5*(1-Assumptions!$B$6)-G24</f>
        <v/>
      </c>
      <c r="O24" s="24" t="inlineStr">
        <is>
          <t>MS Word/Google Docs, PowerPoint, Canva, lawyer/CA review for legal-compliance items</t>
        </is>
      </c>
      <c r="P24" s="24" t="inlineStr">
        <is>
          <t>Own website, LinkedIn, direct B2B outreach, IndiaMART, HR/CA communities</t>
        </is>
      </c>
    </row>
    <row r="25">
      <c r="A25" s="19" t="n">
        <v>24</v>
      </c>
      <c r="B25" s="19" t="inlineStr">
        <is>
          <t>Business &amp; Corporate Toolkits</t>
        </is>
      </c>
      <c r="C25" s="19" t="inlineStr">
        <is>
          <t>Business Plan Template with Financial Model</t>
        </is>
      </c>
      <c r="D25" s="19" t="inlineStr">
        <is>
          <t>Bank-ready business plan + 5-year projections - useful for Mudra/MSME loans.</t>
        </is>
      </c>
      <c r="E25" s="19" t="inlineStr">
        <is>
          <t>Entrepreneurs seeking loans or investors</t>
        </is>
      </c>
      <c r="F25" s="19" t="inlineStr">
        <is>
          <t>One-time</t>
        </is>
      </c>
      <c r="G25" s="28" t="n">
        <v>8000</v>
      </c>
      <c r="H25" s="28" t="n">
        <v>2999</v>
      </c>
      <c r="I25" s="29">
        <f>H25*(1-Assumptions!$B$6)</f>
        <v/>
      </c>
      <c r="J25" s="30">
        <f>IF(I25&gt;0,CEILING(G25/I25,1),0)</f>
        <v/>
      </c>
      <c r="K25" s="30">
        <f>IF(H25&gt;0,CEILING(Assumptions!$B$4/H25,1),0)</f>
        <v/>
      </c>
      <c r="L25" s="30">
        <f>IF(H25&gt;0,CEILING(Assumptions!$B$5/H25,1),0)</f>
        <v/>
      </c>
      <c r="M25" s="29">
        <f>Assumptions!$B$4*(1-Assumptions!$B$6)-G25</f>
        <v/>
      </c>
      <c r="N25" s="29">
        <f>Assumptions!$B$5*(1-Assumptions!$B$6)-G25</f>
        <v/>
      </c>
      <c r="O25" s="19" t="inlineStr">
        <is>
          <t>MS Word/Google Docs, PowerPoint, Canva, lawyer/CA review for legal-compliance items</t>
        </is>
      </c>
      <c r="P25" s="19" t="inlineStr">
        <is>
          <t>Own website, LinkedIn, direct B2B outreach, IndiaMART, HR/CA communities</t>
        </is>
      </c>
    </row>
    <row r="26">
      <c r="A26" s="24" t="n">
        <v>25</v>
      </c>
      <c r="B26" s="24" t="inlineStr">
        <is>
          <t>Business &amp; Corporate Toolkits</t>
        </is>
      </c>
      <c r="C26" s="24" t="inlineStr">
        <is>
          <t>Performance Appraisal Kit</t>
        </is>
      </c>
      <c r="D26" s="24" t="inlineStr">
        <is>
          <t>KRA/KPI templates by role, self-appraisal forms, 360-degree feedback and rating calibration sheet.</t>
        </is>
      </c>
      <c r="E26" s="24" t="inlineStr">
        <is>
          <t>HR managers, team leads</t>
        </is>
      </c>
      <c r="F26" s="24" t="inlineStr">
        <is>
          <t>One-time</t>
        </is>
      </c>
      <c r="G26" s="25" t="n">
        <v>5000</v>
      </c>
      <c r="H26" s="25" t="n">
        <v>1999</v>
      </c>
      <c r="I26" s="26">
        <f>H26*(1-Assumptions!$B$6)</f>
        <v/>
      </c>
      <c r="J26" s="27">
        <f>IF(I26&gt;0,CEILING(G26/I26,1),0)</f>
        <v/>
      </c>
      <c r="K26" s="27">
        <f>IF(H26&gt;0,CEILING(Assumptions!$B$4/H26,1),0)</f>
        <v/>
      </c>
      <c r="L26" s="27">
        <f>IF(H26&gt;0,CEILING(Assumptions!$B$5/H26,1),0)</f>
        <v/>
      </c>
      <c r="M26" s="26">
        <f>Assumptions!$B$4*(1-Assumptions!$B$6)-G26</f>
        <v/>
      </c>
      <c r="N26" s="26">
        <f>Assumptions!$B$5*(1-Assumptions!$B$6)-G26</f>
        <v/>
      </c>
      <c r="O26" s="24" t="inlineStr">
        <is>
          <t>MS Word/Google Docs, PowerPoint, Canva, lawyer/CA review for legal-compliance items</t>
        </is>
      </c>
      <c r="P26" s="24" t="inlineStr">
        <is>
          <t>Own website, LinkedIn, direct B2B outreach, IndiaMART, HR/CA communities</t>
        </is>
      </c>
    </row>
    <row r="27">
      <c r="A27" s="19" t="n">
        <v>26</v>
      </c>
      <c r="B27" s="19" t="inlineStr">
        <is>
          <t>Business &amp; Corporate Toolkits</t>
        </is>
      </c>
      <c r="C27" s="19" t="inlineStr">
        <is>
          <t>Corporate Training Deck Library (20 PPTs)</t>
        </is>
      </c>
      <c r="D27" s="19" t="inlineStr">
        <is>
          <t>Ready-to-deliver soft-skill decks: communication, time management, teamwork, customer service.</t>
        </is>
      </c>
      <c r="E27" s="19" t="inlineStr">
        <is>
          <t>L&amp;D managers, corporate trainers</t>
        </is>
      </c>
      <c r="F27" s="19" t="inlineStr">
        <is>
          <t>One-time</t>
        </is>
      </c>
      <c r="G27" s="28" t="n">
        <v>12000</v>
      </c>
      <c r="H27" s="28" t="n">
        <v>4999</v>
      </c>
      <c r="I27" s="29">
        <f>H27*(1-Assumptions!$B$6)</f>
        <v/>
      </c>
      <c r="J27" s="30">
        <f>IF(I27&gt;0,CEILING(G27/I27,1),0)</f>
        <v/>
      </c>
      <c r="K27" s="30">
        <f>IF(H27&gt;0,CEILING(Assumptions!$B$4/H27,1),0)</f>
        <v/>
      </c>
      <c r="L27" s="30">
        <f>IF(H27&gt;0,CEILING(Assumptions!$B$5/H27,1),0)</f>
        <v/>
      </c>
      <c r="M27" s="29">
        <f>Assumptions!$B$4*(1-Assumptions!$B$6)-G27</f>
        <v/>
      </c>
      <c r="N27" s="29">
        <f>Assumptions!$B$5*(1-Assumptions!$B$6)-G27</f>
        <v/>
      </c>
      <c r="O27" s="19" t="inlineStr">
        <is>
          <t>MS Word/Google Docs, PowerPoint, Canva, lawyer/CA review for legal-compliance items</t>
        </is>
      </c>
      <c r="P27" s="19" t="inlineStr">
        <is>
          <t>Own website, LinkedIn, direct B2B outreach, IndiaMART, HR/CA communities</t>
        </is>
      </c>
    </row>
    <row r="28">
      <c r="A28" s="24" t="n">
        <v>27</v>
      </c>
      <c r="B28" s="24" t="inlineStr">
        <is>
          <t>Business &amp; Corporate Toolkits</t>
        </is>
      </c>
      <c r="C28" s="24" t="inlineStr">
        <is>
          <t>POSH Compliance Training Kit</t>
        </is>
      </c>
      <c r="D28" s="24" t="inlineStr">
        <is>
          <t>POSH Act policy, ICC formation guide, training deck, quiz and annual report format - mandatory for companies with 10+ staff.</t>
        </is>
      </c>
      <c r="E28" s="24" t="inlineStr">
        <is>
          <t>Companies with 10+ employees, HR</t>
        </is>
      </c>
      <c r="F28" s="24" t="inlineStr">
        <is>
          <t>One-time</t>
        </is>
      </c>
      <c r="G28" s="25" t="n">
        <v>10000</v>
      </c>
      <c r="H28" s="25" t="n">
        <v>4999</v>
      </c>
      <c r="I28" s="26">
        <f>H28*(1-Assumptions!$B$6)</f>
        <v/>
      </c>
      <c r="J28" s="27">
        <f>IF(I28&gt;0,CEILING(G28/I28,1),0)</f>
        <v/>
      </c>
      <c r="K28" s="27">
        <f>IF(H28&gt;0,CEILING(Assumptions!$B$4/H28,1),0)</f>
        <v/>
      </c>
      <c r="L28" s="27">
        <f>IF(H28&gt;0,CEILING(Assumptions!$B$5/H28,1),0)</f>
        <v/>
      </c>
      <c r="M28" s="26">
        <f>Assumptions!$B$4*(1-Assumptions!$B$6)-G28</f>
        <v/>
      </c>
      <c r="N28" s="26">
        <f>Assumptions!$B$5*(1-Assumptions!$B$6)-G28</f>
        <v/>
      </c>
      <c r="O28" s="24" t="inlineStr">
        <is>
          <t>MS Word/Google Docs, PowerPoint, Canva, lawyer/CA review for legal-compliance items</t>
        </is>
      </c>
      <c r="P28" s="24" t="inlineStr">
        <is>
          <t>Own website, LinkedIn, direct B2B outreach, IndiaMART, HR/CA communities</t>
        </is>
      </c>
    </row>
    <row r="29">
      <c r="A29" s="19" t="n">
        <v>28</v>
      </c>
      <c r="B29" s="19" t="inlineStr">
        <is>
          <t>Business &amp; Corporate Toolkits</t>
        </is>
      </c>
      <c r="C29" s="19" t="inlineStr">
        <is>
          <t>Company Profile &amp; Brochure Templates</t>
        </is>
      </c>
      <c r="D29" s="19" t="inlineStr">
        <is>
          <t>Editable company profile, capability statement and product catalogue designs.</t>
        </is>
      </c>
      <c r="E29" s="19" t="inlineStr">
        <is>
          <t>MSMEs, manufacturers, exporters</t>
        </is>
      </c>
      <c r="F29" s="19" t="inlineStr">
        <is>
          <t>One-time</t>
        </is>
      </c>
      <c r="G29" s="28" t="n">
        <v>4000</v>
      </c>
      <c r="H29" s="28" t="n">
        <v>1499</v>
      </c>
      <c r="I29" s="29">
        <f>H29*(1-Assumptions!$B$6)</f>
        <v/>
      </c>
      <c r="J29" s="30">
        <f>IF(I29&gt;0,CEILING(G29/I29,1),0)</f>
        <v/>
      </c>
      <c r="K29" s="30">
        <f>IF(H29&gt;0,CEILING(Assumptions!$B$4/H29,1),0)</f>
        <v/>
      </c>
      <c r="L29" s="30">
        <f>IF(H29&gt;0,CEILING(Assumptions!$B$5/H29,1),0)</f>
        <v/>
      </c>
      <c r="M29" s="29">
        <f>Assumptions!$B$4*(1-Assumptions!$B$6)-G29</f>
        <v/>
      </c>
      <c r="N29" s="29">
        <f>Assumptions!$B$5*(1-Assumptions!$B$6)-G29</f>
        <v/>
      </c>
      <c r="O29" s="19" t="inlineStr">
        <is>
          <t>MS Word/Google Docs, PowerPoint, Canva, lawyer/CA review for legal-compliance items</t>
        </is>
      </c>
      <c r="P29" s="19" t="inlineStr">
        <is>
          <t>Own website, LinkedIn, direct B2B outreach, IndiaMART, HR/CA communities</t>
        </is>
      </c>
    </row>
    <row r="30">
      <c r="A30" s="24" t="n">
        <v>29</v>
      </c>
      <c r="B30" s="24" t="inlineStr">
        <is>
          <t>Business &amp; Corporate Toolkits</t>
        </is>
      </c>
      <c r="C30" s="24" t="inlineStr">
        <is>
          <t>Proposal &amp; Quotation Templates for Agencies</t>
        </is>
      </c>
      <c r="D30" s="24" t="inlineStr">
        <is>
          <t>Winning proposal structures, scope-of-work and pricing tables for services businesses.</t>
        </is>
      </c>
      <c r="E30" s="24" t="inlineStr">
        <is>
          <t>Agencies, consultants, IT service firms</t>
        </is>
      </c>
      <c r="F30" s="24" t="inlineStr">
        <is>
          <t>One-time</t>
        </is>
      </c>
      <c r="G30" s="25" t="n">
        <v>3000</v>
      </c>
      <c r="H30" s="25" t="n">
        <v>999</v>
      </c>
      <c r="I30" s="26">
        <f>H30*(1-Assumptions!$B$6)</f>
        <v/>
      </c>
      <c r="J30" s="27">
        <f>IF(I30&gt;0,CEILING(G30/I30,1),0)</f>
        <v/>
      </c>
      <c r="K30" s="27">
        <f>IF(H30&gt;0,CEILING(Assumptions!$B$4/H30,1),0)</f>
        <v/>
      </c>
      <c r="L30" s="27">
        <f>IF(H30&gt;0,CEILING(Assumptions!$B$5/H30,1),0)</f>
        <v/>
      </c>
      <c r="M30" s="26">
        <f>Assumptions!$B$4*(1-Assumptions!$B$6)-G30</f>
        <v/>
      </c>
      <c r="N30" s="26">
        <f>Assumptions!$B$5*(1-Assumptions!$B$6)-G30</f>
        <v/>
      </c>
      <c r="O30" s="24" t="inlineStr">
        <is>
          <t>MS Word/Google Docs, PowerPoint, Canva, lawyer/CA review for legal-compliance items</t>
        </is>
      </c>
      <c r="P30" s="24" t="inlineStr">
        <is>
          <t>Own website, LinkedIn, direct B2B outreach, IndiaMART, HR/CA communities</t>
        </is>
      </c>
    </row>
    <row r="31">
      <c r="A31" s="19" t="n">
        <v>30</v>
      </c>
      <c r="B31" s="19" t="inlineStr">
        <is>
          <t>Business &amp; Corporate Toolkits</t>
        </is>
      </c>
      <c r="C31" s="19" t="inlineStr">
        <is>
          <t>Franchise Operations Manual Template</t>
        </is>
      </c>
      <c r="D31" s="19" t="inlineStr">
        <is>
          <t>Store setup, staffing, quality, marketing and royalty-reporting chapters for franchise brands.</t>
        </is>
      </c>
      <c r="E31" s="19" t="inlineStr">
        <is>
          <t>Brands planning to franchise</t>
        </is>
      </c>
      <c r="F31" s="19" t="inlineStr">
        <is>
          <t>One-time</t>
        </is>
      </c>
      <c r="G31" s="28" t="n">
        <v>10000</v>
      </c>
      <c r="H31" s="28" t="n">
        <v>4999</v>
      </c>
      <c r="I31" s="29">
        <f>H31*(1-Assumptions!$B$6)</f>
        <v/>
      </c>
      <c r="J31" s="30">
        <f>IF(I31&gt;0,CEILING(G31/I31,1),0)</f>
        <v/>
      </c>
      <c r="K31" s="30">
        <f>IF(H31&gt;0,CEILING(Assumptions!$B$4/H31,1),0)</f>
        <v/>
      </c>
      <c r="L31" s="30">
        <f>IF(H31&gt;0,CEILING(Assumptions!$B$5/H31,1),0)</f>
        <v/>
      </c>
      <c r="M31" s="29">
        <f>Assumptions!$B$4*(1-Assumptions!$B$6)-G31</f>
        <v/>
      </c>
      <c r="N31" s="29">
        <f>Assumptions!$B$5*(1-Assumptions!$B$6)-G31</f>
        <v/>
      </c>
      <c r="O31" s="19" t="inlineStr">
        <is>
          <t>MS Word/Google Docs, PowerPoint, Canva, lawyer/CA review for legal-compliance items</t>
        </is>
      </c>
      <c r="P31" s="19" t="inlineStr">
        <is>
          <t>Own website, LinkedIn, direct B2B outreach, IndiaMART, HR/CA communities</t>
        </is>
      </c>
    </row>
    <row r="32">
      <c r="A32" s="24" t="n">
        <v>31</v>
      </c>
      <c r="B32" s="24" t="inlineStr">
        <is>
          <t>Business &amp; Corporate Toolkits</t>
        </is>
      </c>
      <c r="C32" s="24" t="inlineStr">
        <is>
          <t>ISO 9001 Documentation Kit</t>
        </is>
      </c>
      <c r="D32" s="24" t="inlineStr">
        <is>
          <t>Quality manual, procedures, formats and audit checklists to prepare for ISO certification.</t>
        </is>
      </c>
      <c r="E32" s="24" t="inlineStr">
        <is>
          <t>Manufacturing SMEs, quality consultants</t>
        </is>
      </c>
      <c r="F32" s="24" t="inlineStr">
        <is>
          <t>One-time</t>
        </is>
      </c>
      <c r="G32" s="25" t="n">
        <v>15000</v>
      </c>
      <c r="H32" s="25" t="n">
        <v>7999</v>
      </c>
      <c r="I32" s="26">
        <f>H32*(1-Assumptions!$B$6)</f>
        <v/>
      </c>
      <c r="J32" s="27">
        <f>IF(I32&gt;0,CEILING(G32/I32,1),0)</f>
        <v/>
      </c>
      <c r="K32" s="27">
        <f>IF(H32&gt;0,CEILING(Assumptions!$B$4/H32,1),0)</f>
        <v/>
      </c>
      <c r="L32" s="27">
        <f>IF(H32&gt;0,CEILING(Assumptions!$B$5/H32,1),0)</f>
        <v/>
      </c>
      <c r="M32" s="26">
        <f>Assumptions!$B$4*(1-Assumptions!$B$6)-G32</f>
        <v/>
      </c>
      <c r="N32" s="26">
        <f>Assumptions!$B$5*(1-Assumptions!$B$6)-G32</f>
        <v/>
      </c>
      <c r="O32" s="24" t="inlineStr">
        <is>
          <t>MS Word/Google Docs, PowerPoint, Canva, lawyer/CA review for legal-compliance items</t>
        </is>
      </c>
      <c r="P32" s="24" t="inlineStr">
        <is>
          <t>Own website, LinkedIn, direct B2B outreach, IndiaMART, HR/CA communities</t>
        </is>
      </c>
    </row>
    <row r="33">
      <c r="A33" s="19" t="n">
        <v>32</v>
      </c>
      <c r="B33" s="19" t="inlineStr">
        <is>
          <t>Business &amp; Corporate Toolkits</t>
        </is>
      </c>
      <c r="C33" s="19" t="inlineStr">
        <is>
          <t>Customer Service Scripts &amp; Email Templates</t>
        </is>
      </c>
      <c r="D33" s="19" t="inlineStr">
        <is>
          <t>Scripts for complaints, refunds, escalations and follow-ups across phone, email and WhatsApp.</t>
        </is>
      </c>
      <c r="E33" s="19" t="inlineStr">
        <is>
          <t>Support teams, D2C brands</t>
        </is>
      </c>
      <c r="F33" s="19" t="inlineStr">
        <is>
          <t>One-time</t>
        </is>
      </c>
      <c r="G33" s="28" t="n">
        <v>3000</v>
      </c>
      <c r="H33" s="28" t="n">
        <v>999</v>
      </c>
      <c r="I33" s="29">
        <f>H33*(1-Assumptions!$B$6)</f>
        <v/>
      </c>
      <c r="J33" s="30">
        <f>IF(I33&gt;0,CEILING(G33/I33,1),0)</f>
        <v/>
      </c>
      <c r="K33" s="30">
        <f>IF(H33&gt;0,CEILING(Assumptions!$B$4/H33,1),0)</f>
        <v/>
      </c>
      <c r="L33" s="30">
        <f>IF(H33&gt;0,CEILING(Assumptions!$B$5/H33,1),0)</f>
        <v/>
      </c>
      <c r="M33" s="29">
        <f>Assumptions!$B$4*(1-Assumptions!$B$6)-G33</f>
        <v/>
      </c>
      <c r="N33" s="29">
        <f>Assumptions!$B$5*(1-Assumptions!$B$6)-G33</f>
        <v/>
      </c>
      <c r="O33" s="19" t="inlineStr">
        <is>
          <t>MS Word/Google Docs, PowerPoint, Canva, lawyer/CA review for legal-compliance items</t>
        </is>
      </c>
      <c r="P33" s="19" t="inlineStr">
        <is>
          <t>Own website, LinkedIn, direct B2B outreach, IndiaMART, HR/CA communities</t>
        </is>
      </c>
    </row>
    <row r="34">
      <c r="A34" s="24" t="n">
        <v>33</v>
      </c>
      <c r="B34" s="24" t="inlineStr">
        <is>
          <t>Business &amp; Corporate Toolkits</t>
        </is>
      </c>
      <c r="C34" s="24" t="inlineStr">
        <is>
          <t>Board Meeting &amp; ROC Compliance Calendar</t>
        </is>
      </c>
      <c r="D34" s="24" t="inlineStr">
        <is>
          <t>Companies Act compliance calendar, board-meeting minutes and resolution formats.</t>
        </is>
      </c>
      <c r="E34" s="24" t="inlineStr">
        <is>
          <t>Company secretaries, Pvt Ltd companies</t>
        </is>
      </c>
      <c r="F34" s="24" t="inlineStr">
        <is>
          <t>One-time</t>
        </is>
      </c>
      <c r="G34" s="25" t="n">
        <v>5000</v>
      </c>
      <c r="H34" s="25" t="n">
        <v>1999</v>
      </c>
      <c r="I34" s="26">
        <f>H34*(1-Assumptions!$B$6)</f>
        <v/>
      </c>
      <c r="J34" s="27">
        <f>IF(I34&gt;0,CEILING(G34/I34,1),0)</f>
        <v/>
      </c>
      <c r="K34" s="27">
        <f>IF(H34&gt;0,CEILING(Assumptions!$B$4/H34,1),0)</f>
        <v/>
      </c>
      <c r="L34" s="27">
        <f>IF(H34&gt;0,CEILING(Assumptions!$B$5/H34,1),0)</f>
        <v/>
      </c>
      <c r="M34" s="26">
        <f>Assumptions!$B$4*(1-Assumptions!$B$6)-G34</f>
        <v/>
      </c>
      <c r="N34" s="26">
        <f>Assumptions!$B$5*(1-Assumptions!$B$6)-G34</f>
        <v/>
      </c>
      <c r="O34" s="24" t="inlineStr">
        <is>
          <t>MS Word/Google Docs, PowerPoint, Canva, lawyer/CA review for legal-compliance items</t>
        </is>
      </c>
      <c r="P34" s="24" t="inlineStr">
        <is>
          <t>Own website, LinkedIn, direct B2B outreach, IndiaMART, HR/CA communities</t>
        </is>
      </c>
    </row>
    <row r="35">
      <c r="A35" s="19" t="n">
        <v>34</v>
      </c>
      <c r="B35" s="19" t="inlineStr">
        <is>
          <t>Business &amp; Corporate Toolkits</t>
        </is>
      </c>
      <c r="C35" s="19" t="inlineStr">
        <is>
          <t>B2B Sales Playbook &amp; Cold Outreach Scripts</t>
        </is>
      </c>
      <c r="D35" s="19" t="inlineStr">
        <is>
          <t>ICP worksheet, call scripts, objection handling and email/LinkedIn sequences.</t>
        </is>
      </c>
      <c r="E35" s="19" t="inlineStr">
        <is>
          <t>B2B sales teams, founders</t>
        </is>
      </c>
      <c r="F35" s="19" t="inlineStr">
        <is>
          <t>One-time</t>
        </is>
      </c>
      <c r="G35" s="28" t="n">
        <v>5000</v>
      </c>
      <c r="H35" s="28" t="n">
        <v>2499</v>
      </c>
      <c r="I35" s="29">
        <f>H35*(1-Assumptions!$B$6)</f>
        <v/>
      </c>
      <c r="J35" s="30">
        <f>IF(I35&gt;0,CEILING(G35/I35,1),0)</f>
        <v/>
      </c>
      <c r="K35" s="30">
        <f>IF(H35&gt;0,CEILING(Assumptions!$B$4/H35,1),0)</f>
        <v/>
      </c>
      <c r="L35" s="30">
        <f>IF(H35&gt;0,CEILING(Assumptions!$B$5/H35,1),0)</f>
        <v/>
      </c>
      <c r="M35" s="29">
        <f>Assumptions!$B$4*(1-Assumptions!$B$6)-G35</f>
        <v/>
      </c>
      <c r="N35" s="29">
        <f>Assumptions!$B$5*(1-Assumptions!$B$6)-G35</f>
        <v/>
      </c>
      <c r="O35" s="19" t="inlineStr">
        <is>
          <t>MS Word/Google Docs, PowerPoint, Canva, lawyer/CA review for legal-compliance items</t>
        </is>
      </c>
      <c r="P35" s="19" t="inlineStr">
        <is>
          <t>Own website, LinkedIn, direct B2B outreach, IndiaMART, HR/CA communities</t>
        </is>
      </c>
    </row>
    <row r="36">
      <c r="A36" s="24" t="n">
        <v>35</v>
      </c>
      <c r="B36" s="24" t="inlineStr">
        <is>
          <t>Business &amp; Corporate Toolkits</t>
        </is>
      </c>
      <c r="C36" s="24" t="inlineStr">
        <is>
          <t>Employee Engagement &amp; Exit Survey Kit</t>
        </is>
      </c>
      <c r="D36" s="24" t="inlineStr">
        <is>
          <t>Engagement survey, pulse checks, exit-interview forms and an analysis dashboard.</t>
        </is>
      </c>
      <c r="E36" s="24" t="inlineStr">
        <is>
          <t>HR teams, people managers</t>
        </is>
      </c>
      <c r="F36" s="24" t="inlineStr">
        <is>
          <t>One-time</t>
        </is>
      </c>
      <c r="G36" s="25" t="n">
        <v>3000</v>
      </c>
      <c r="H36" s="25" t="n">
        <v>1499</v>
      </c>
      <c r="I36" s="26">
        <f>H36*(1-Assumptions!$B$6)</f>
        <v/>
      </c>
      <c r="J36" s="27">
        <f>IF(I36&gt;0,CEILING(G36/I36,1),0)</f>
        <v/>
      </c>
      <c r="K36" s="27">
        <f>IF(H36&gt;0,CEILING(Assumptions!$B$4/H36,1),0)</f>
        <v/>
      </c>
      <c r="L36" s="27">
        <f>IF(H36&gt;0,CEILING(Assumptions!$B$5/H36,1),0)</f>
        <v/>
      </c>
      <c r="M36" s="26">
        <f>Assumptions!$B$4*(1-Assumptions!$B$6)-G36</f>
        <v/>
      </c>
      <c r="N36" s="26">
        <f>Assumptions!$B$5*(1-Assumptions!$B$6)-G36</f>
        <v/>
      </c>
      <c r="O36" s="24" t="inlineStr">
        <is>
          <t>MS Word/Google Docs, PowerPoint, Canva, lawyer/CA review for legal-compliance items</t>
        </is>
      </c>
      <c r="P36" s="24" t="inlineStr">
        <is>
          <t>Own website, LinkedIn, direct B2B outreach, IndiaMART, HR/CA communities</t>
        </is>
      </c>
    </row>
    <row r="37">
      <c r="A37" s="19" t="n">
        <v>36</v>
      </c>
      <c r="B37" s="19" t="inlineStr">
        <is>
          <t>Business &amp; Corporate Toolkits</t>
        </is>
      </c>
      <c r="C37" s="19" t="inlineStr">
        <is>
          <t>Vendor Management &amp; Procurement Toolkit</t>
        </is>
      </c>
      <c r="D37" s="19" t="inlineStr">
        <is>
          <t>Vendor registration form, comparison matrix, PO format and vendor rating scorecard.</t>
        </is>
      </c>
      <c r="E37" s="19" t="inlineStr">
        <is>
          <t>Procurement &amp; admin teams</t>
        </is>
      </c>
      <c r="F37" s="19" t="inlineStr">
        <is>
          <t>One-time</t>
        </is>
      </c>
      <c r="G37" s="28" t="n">
        <v>4000</v>
      </c>
      <c r="H37" s="28" t="n">
        <v>1999</v>
      </c>
      <c r="I37" s="29">
        <f>H37*(1-Assumptions!$B$6)</f>
        <v/>
      </c>
      <c r="J37" s="30">
        <f>IF(I37&gt;0,CEILING(G37/I37,1),0)</f>
        <v/>
      </c>
      <c r="K37" s="30">
        <f>IF(H37&gt;0,CEILING(Assumptions!$B$4/H37,1),0)</f>
        <v/>
      </c>
      <c r="L37" s="30">
        <f>IF(H37&gt;0,CEILING(Assumptions!$B$5/H37,1),0)</f>
        <v/>
      </c>
      <c r="M37" s="29">
        <f>Assumptions!$B$4*(1-Assumptions!$B$6)-G37</f>
        <v/>
      </c>
      <c r="N37" s="29">
        <f>Assumptions!$B$5*(1-Assumptions!$B$6)-G37</f>
        <v/>
      </c>
      <c r="O37" s="19" t="inlineStr">
        <is>
          <t>MS Word/Google Docs, PowerPoint, Canva, lawyer/CA review for legal-compliance items</t>
        </is>
      </c>
      <c r="P37" s="19" t="inlineStr">
        <is>
          <t>Own website, LinkedIn, direct B2B outreach, IndiaMART, HR/CA communities</t>
        </is>
      </c>
    </row>
    <row r="38">
      <c r="A38" s="24" t="n">
        <v>37</v>
      </c>
      <c r="B38" s="24" t="inlineStr">
        <is>
          <t>Online Courses &amp; Workshops</t>
        </is>
      </c>
      <c r="C38" s="24" t="inlineStr">
        <is>
          <t>Excel for Business Professionals (Beginner to MIS)</t>
        </is>
      </c>
      <c r="D38" s="24" t="inlineStr">
        <is>
          <t>Recorded course from basics to pivot tables, dashboards and MIS reports - a skill that directly helps get jobs.</t>
        </is>
      </c>
      <c r="E38" s="24" t="inlineStr">
        <is>
          <t>Freshers, working professionals</t>
        </is>
      </c>
      <c r="F38" s="24" t="inlineStr">
        <is>
          <t>One-time</t>
        </is>
      </c>
      <c r="G38" s="25" t="n">
        <v>25000</v>
      </c>
      <c r="H38" s="25" t="n">
        <v>1999</v>
      </c>
      <c r="I38" s="26">
        <f>H38*(1-Assumptions!$B$6)</f>
        <v/>
      </c>
      <c r="J38" s="27">
        <f>IF(I38&gt;0,CEILING(G38/I38,1),0)</f>
        <v/>
      </c>
      <c r="K38" s="27">
        <f>IF(H38&gt;0,CEILING(Assumptions!$B$4/H38,1),0)</f>
        <v/>
      </c>
      <c r="L38" s="27">
        <f>IF(H38&gt;0,CEILING(Assumptions!$B$5/H38,1),0)</f>
        <v/>
      </c>
      <c r="M38" s="26">
        <f>Assumptions!$B$4*(1-Assumptions!$B$6)-G38</f>
        <v/>
      </c>
      <c r="N38" s="26">
        <f>Assumptions!$B$5*(1-Assumptions!$B$6)-G38</f>
        <v/>
      </c>
      <c r="O38" s="24" t="inlineStr">
        <is>
          <t>Phone/mic + OBS/Loom, Canva slides, hosting on Graphy/TagMango/Teachable/Exly</t>
        </is>
      </c>
      <c r="P38" s="24" t="inlineStr">
        <is>
          <t>Own course platform, YouTube funnel, Instagram, webinars, Udemy, corporate L&amp;D outreach</t>
        </is>
      </c>
    </row>
    <row r="39">
      <c r="A39" s="19" t="n">
        <v>38</v>
      </c>
      <c r="B39" s="19" t="inlineStr">
        <is>
          <t>Online Courses &amp; Workshops</t>
        </is>
      </c>
      <c r="C39" s="19" t="inlineStr">
        <is>
          <t>Digital Marketing Masterclass</t>
        </is>
      </c>
      <c r="D39" s="19" t="inlineStr">
        <is>
          <t>SEO, social media, Meta &amp; Google ads and email marketing with live projects.</t>
        </is>
      </c>
      <c r="E39" s="19" t="inlineStr">
        <is>
          <t>Business owners, students, job seekers</t>
        </is>
      </c>
      <c r="F39" s="19" t="inlineStr">
        <is>
          <t>One-time</t>
        </is>
      </c>
      <c r="G39" s="28" t="n">
        <v>30000</v>
      </c>
      <c r="H39" s="28" t="n">
        <v>2999</v>
      </c>
      <c r="I39" s="29">
        <f>H39*(1-Assumptions!$B$6)</f>
        <v/>
      </c>
      <c r="J39" s="30">
        <f>IF(I39&gt;0,CEILING(G39/I39,1),0)</f>
        <v/>
      </c>
      <c r="K39" s="30">
        <f>IF(H39&gt;0,CEILING(Assumptions!$B$4/H39,1),0)</f>
        <v/>
      </c>
      <c r="L39" s="30">
        <f>IF(H39&gt;0,CEILING(Assumptions!$B$5/H39,1),0)</f>
        <v/>
      </c>
      <c r="M39" s="29">
        <f>Assumptions!$B$4*(1-Assumptions!$B$6)-G39</f>
        <v/>
      </c>
      <c r="N39" s="29">
        <f>Assumptions!$B$5*(1-Assumptions!$B$6)-G39</f>
        <v/>
      </c>
      <c r="O39" s="19" t="inlineStr">
        <is>
          <t>Phone/mic + OBS/Loom, Canva slides, hosting on Graphy/TagMango/Teachable/Exly</t>
        </is>
      </c>
      <c r="P39" s="19" t="inlineStr">
        <is>
          <t>Own course platform, YouTube funnel, Instagram, webinars, Udemy, corporate L&amp;D outreach</t>
        </is>
      </c>
    </row>
    <row r="40">
      <c r="A40" s="24" t="n">
        <v>39</v>
      </c>
      <c r="B40" s="24" t="inlineStr">
        <is>
          <t>Online Courses &amp; Workshops</t>
        </is>
      </c>
      <c r="C40" s="24" t="inlineStr">
        <is>
          <t>Instagram Growth &amp; Reels Course</t>
        </is>
      </c>
      <c r="D40" s="24" t="inlineStr">
        <is>
          <t>Content strategy, hooks, editing and monetisation for Instagram.</t>
        </is>
      </c>
      <c r="E40" s="24" t="inlineStr">
        <is>
          <t>Creators, small brands</t>
        </is>
      </c>
      <c r="F40" s="24" t="inlineStr">
        <is>
          <t>One-time</t>
        </is>
      </c>
      <c r="G40" s="25" t="n">
        <v>15000</v>
      </c>
      <c r="H40" s="25" t="n">
        <v>1499</v>
      </c>
      <c r="I40" s="26">
        <f>H40*(1-Assumptions!$B$6)</f>
        <v/>
      </c>
      <c r="J40" s="27">
        <f>IF(I40&gt;0,CEILING(G40/I40,1),0)</f>
        <v/>
      </c>
      <c r="K40" s="27">
        <f>IF(H40&gt;0,CEILING(Assumptions!$B$4/H40,1),0)</f>
        <v/>
      </c>
      <c r="L40" s="27">
        <f>IF(H40&gt;0,CEILING(Assumptions!$B$5/H40,1),0)</f>
        <v/>
      </c>
      <c r="M40" s="26">
        <f>Assumptions!$B$4*(1-Assumptions!$B$6)-G40</f>
        <v/>
      </c>
      <c r="N40" s="26">
        <f>Assumptions!$B$5*(1-Assumptions!$B$6)-G40</f>
        <v/>
      </c>
      <c r="O40" s="24" t="inlineStr">
        <is>
          <t>Phone/mic + OBS/Loom, Canva slides, hosting on Graphy/TagMango/Teachable/Exly</t>
        </is>
      </c>
      <c r="P40" s="24" t="inlineStr">
        <is>
          <t>Own course platform, YouTube funnel, Instagram, webinars, Udemy, corporate L&amp;D outreach</t>
        </is>
      </c>
    </row>
    <row r="41">
      <c r="A41" s="19" t="n">
        <v>40</v>
      </c>
      <c r="B41" s="19" t="inlineStr">
        <is>
          <t>Online Courses &amp; Workshops</t>
        </is>
      </c>
      <c r="C41" s="19" t="inlineStr">
        <is>
          <t>Freelancing Launchpad (Fiverr/Upwork)</t>
        </is>
      </c>
      <c r="D41" s="19" t="inlineStr">
        <is>
          <t>Pick a skill, build a portfolio, win first clients and get paid internationally.</t>
        </is>
      </c>
      <c r="E41" s="19" t="inlineStr">
        <is>
          <t>Students, homemakers, career switchers</t>
        </is>
      </c>
      <c r="F41" s="19" t="inlineStr">
        <is>
          <t>One-time</t>
        </is>
      </c>
      <c r="G41" s="28" t="n">
        <v>15000</v>
      </c>
      <c r="H41" s="28" t="n">
        <v>1999</v>
      </c>
      <c r="I41" s="29">
        <f>H41*(1-Assumptions!$B$6)</f>
        <v/>
      </c>
      <c r="J41" s="30">
        <f>IF(I41&gt;0,CEILING(G41/I41,1),0)</f>
        <v/>
      </c>
      <c r="K41" s="30">
        <f>IF(H41&gt;0,CEILING(Assumptions!$B$4/H41,1),0)</f>
        <v/>
      </c>
      <c r="L41" s="30">
        <f>IF(H41&gt;0,CEILING(Assumptions!$B$5/H41,1),0)</f>
        <v/>
      </c>
      <c r="M41" s="29">
        <f>Assumptions!$B$4*(1-Assumptions!$B$6)-G41</f>
        <v/>
      </c>
      <c r="N41" s="29">
        <f>Assumptions!$B$5*(1-Assumptions!$B$6)-G41</f>
        <v/>
      </c>
      <c r="O41" s="19" t="inlineStr">
        <is>
          <t>Phone/mic + OBS/Loom, Canva slides, hosting on Graphy/TagMango/Teachable/Exly</t>
        </is>
      </c>
      <c r="P41" s="19" t="inlineStr">
        <is>
          <t>Own course platform, YouTube funnel, Instagram, webinars, Udemy, corporate L&amp;D outreach</t>
        </is>
      </c>
    </row>
    <row r="42">
      <c r="A42" s="24" t="n">
        <v>41</v>
      </c>
      <c r="B42" s="24" t="inlineStr">
        <is>
          <t>Online Courses &amp; Workshops</t>
        </is>
      </c>
      <c r="C42" s="24" t="inlineStr">
        <is>
          <t>Spoken English &amp; Business Communication</t>
        </is>
      </c>
      <c r="D42" s="24" t="inlineStr">
        <is>
          <t>Daily-practice course for fluency, emails, meetings and interviews.</t>
        </is>
      </c>
      <c r="E42" s="24" t="inlineStr">
        <is>
          <t>Job seekers from Tier-2/3 cities</t>
        </is>
      </c>
      <c r="F42" s="24" t="inlineStr">
        <is>
          <t>One-time</t>
        </is>
      </c>
      <c r="G42" s="25" t="n">
        <v>25000</v>
      </c>
      <c r="H42" s="25" t="n">
        <v>2499</v>
      </c>
      <c r="I42" s="26">
        <f>H42*(1-Assumptions!$B$6)</f>
        <v/>
      </c>
      <c r="J42" s="27">
        <f>IF(I42&gt;0,CEILING(G42/I42,1),0)</f>
        <v/>
      </c>
      <c r="K42" s="27">
        <f>IF(H42&gt;0,CEILING(Assumptions!$B$4/H42,1),0)</f>
        <v/>
      </c>
      <c r="L42" s="27">
        <f>IF(H42&gt;0,CEILING(Assumptions!$B$5/H42,1),0)</f>
        <v/>
      </c>
      <c r="M42" s="26">
        <f>Assumptions!$B$4*(1-Assumptions!$B$6)-G42</f>
        <v/>
      </c>
      <c r="N42" s="26">
        <f>Assumptions!$B$5*(1-Assumptions!$B$6)-G42</f>
        <v/>
      </c>
      <c r="O42" s="24" t="inlineStr">
        <is>
          <t>Phone/mic + OBS/Loom, Canva slides, hosting on Graphy/TagMango/Teachable/Exly</t>
        </is>
      </c>
      <c r="P42" s="24" t="inlineStr">
        <is>
          <t>Own course platform, YouTube funnel, Instagram, webinars, Udemy, corporate L&amp;D outreach</t>
        </is>
      </c>
    </row>
    <row r="43">
      <c r="A43" s="19" t="n">
        <v>42</v>
      </c>
      <c r="B43" s="19" t="inlineStr">
        <is>
          <t>Online Courses &amp; Workshops</t>
        </is>
      </c>
      <c r="C43" s="19" t="inlineStr">
        <is>
          <t>Stock Market Basics (education only, no tips)</t>
        </is>
      </c>
      <c r="D43" s="19" t="inlineStr">
        <is>
          <t>How markets work, reading charts, fundamentals and risk management. Keep it SEBI-compliant: teach, don't give tips.</t>
        </is>
      </c>
      <c r="E43" s="19" t="inlineStr">
        <is>
          <t>Beginner investors</t>
        </is>
      </c>
      <c r="F43" s="19" t="inlineStr">
        <is>
          <t>One-time</t>
        </is>
      </c>
      <c r="G43" s="28" t="n">
        <v>20000</v>
      </c>
      <c r="H43" s="28" t="n">
        <v>2999</v>
      </c>
      <c r="I43" s="29">
        <f>H43*(1-Assumptions!$B$6)</f>
        <v/>
      </c>
      <c r="J43" s="30">
        <f>IF(I43&gt;0,CEILING(G43/I43,1),0)</f>
        <v/>
      </c>
      <c r="K43" s="30">
        <f>IF(H43&gt;0,CEILING(Assumptions!$B$4/H43,1),0)</f>
        <v/>
      </c>
      <c r="L43" s="30">
        <f>IF(H43&gt;0,CEILING(Assumptions!$B$5/H43,1),0)</f>
        <v/>
      </c>
      <c r="M43" s="29">
        <f>Assumptions!$B$4*(1-Assumptions!$B$6)-G43</f>
        <v/>
      </c>
      <c r="N43" s="29">
        <f>Assumptions!$B$5*(1-Assumptions!$B$6)-G43</f>
        <v/>
      </c>
      <c r="O43" s="19" t="inlineStr">
        <is>
          <t>Phone/mic + OBS/Loom, Canva slides, hosting on Graphy/TagMango/Teachable/Exly</t>
        </is>
      </c>
      <c r="P43" s="19" t="inlineStr">
        <is>
          <t>Own course platform, YouTube funnel, Instagram, webinars, Udemy, corporate L&amp;D outreach</t>
        </is>
      </c>
    </row>
    <row r="44">
      <c r="A44" s="24" t="n">
        <v>43</v>
      </c>
      <c r="B44" s="24" t="inlineStr">
        <is>
          <t>Online Courses &amp; Workshops</t>
        </is>
      </c>
      <c r="C44" s="24" t="inlineStr">
        <is>
          <t>Canva Design Masterclass</t>
        </is>
      </c>
      <c r="D44" s="24" t="inlineStr">
        <is>
          <t>Design social posts, logos, presentations and videos in Canva.</t>
        </is>
      </c>
      <c r="E44" s="24" t="inlineStr">
        <is>
          <t>Small business owners, students</t>
        </is>
      </c>
      <c r="F44" s="24" t="inlineStr">
        <is>
          <t>One-time</t>
        </is>
      </c>
      <c r="G44" s="25" t="n">
        <v>10000</v>
      </c>
      <c r="H44" s="25" t="n">
        <v>999</v>
      </c>
      <c r="I44" s="26">
        <f>H44*(1-Assumptions!$B$6)</f>
        <v/>
      </c>
      <c r="J44" s="27">
        <f>IF(I44&gt;0,CEILING(G44/I44,1),0)</f>
        <v/>
      </c>
      <c r="K44" s="27">
        <f>IF(H44&gt;0,CEILING(Assumptions!$B$4/H44,1),0)</f>
        <v/>
      </c>
      <c r="L44" s="27">
        <f>IF(H44&gt;0,CEILING(Assumptions!$B$5/H44,1),0)</f>
        <v/>
      </c>
      <c r="M44" s="26">
        <f>Assumptions!$B$4*(1-Assumptions!$B$6)-G44</f>
        <v/>
      </c>
      <c r="N44" s="26">
        <f>Assumptions!$B$5*(1-Assumptions!$B$6)-G44</f>
        <v/>
      </c>
      <c r="O44" s="24" t="inlineStr">
        <is>
          <t>Phone/mic + OBS/Loom, Canva slides, hosting on Graphy/TagMango/Teachable/Exly</t>
        </is>
      </c>
      <c r="P44" s="24" t="inlineStr">
        <is>
          <t>Own course platform, YouTube funnel, Instagram, webinars, Udemy, corporate L&amp;D outreach</t>
        </is>
      </c>
    </row>
    <row r="45">
      <c r="A45" s="19" t="n">
        <v>44</v>
      </c>
      <c r="B45" s="19" t="inlineStr">
        <is>
          <t>Online Courses &amp; Workshops</t>
        </is>
      </c>
      <c r="C45" s="19" t="inlineStr">
        <is>
          <t>AI Tools for Productivity</t>
        </is>
      </c>
      <c r="D45" s="19" t="inlineStr">
        <is>
          <t>Use ChatGPT, Claude, Gemini and AI tools for emails, reports, research and automation at work.</t>
        </is>
      </c>
      <c r="E45" s="19" t="inlineStr">
        <is>
          <t>Working professionals, managers</t>
        </is>
      </c>
      <c r="F45" s="19" t="inlineStr">
        <is>
          <t>One-time</t>
        </is>
      </c>
      <c r="G45" s="28" t="n">
        <v>15000</v>
      </c>
      <c r="H45" s="28" t="n">
        <v>1999</v>
      </c>
      <c r="I45" s="29">
        <f>H45*(1-Assumptions!$B$6)</f>
        <v/>
      </c>
      <c r="J45" s="30">
        <f>IF(I45&gt;0,CEILING(G45/I45,1),0)</f>
        <v/>
      </c>
      <c r="K45" s="30">
        <f>IF(H45&gt;0,CEILING(Assumptions!$B$4/H45,1),0)</f>
        <v/>
      </c>
      <c r="L45" s="30">
        <f>IF(H45&gt;0,CEILING(Assumptions!$B$5/H45,1),0)</f>
        <v/>
      </c>
      <c r="M45" s="29">
        <f>Assumptions!$B$4*(1-Assumptions!$B$6)-G45</f>
        <v/>
      </c>
      <c r="N45" s="29">
        <f>Assumptions!$B$5*(1-Assumptions!$B$6)-G45</f>
        <v/>
      </c>
      <c r="O45" s="19" t="inlineStr">
        <is>
          <t>Phone/mic + OBS/Loom, Canva slides, hosting on Graphy/TagMango/Teachable/Exly</t>
        </is>
      </c>
      <c r="P45" s="19" t="inlineStr">
        <is>
          <t>Own course platform, YouTube funnel, Instagram, webinars, Udemy, corporate L&amp;D outreach</t>
        </is>
      </c>
    </row>
    <row r="46">
      <c r="A46" s="24" t="n">
        <v>45</v>
      </c>
      <c r="B46" s="24" t="inlineStr">
        <is>
          <t>Online Courses &amp; Workshops</t>
        </is>
      </c>
      <c r="C46" s="24" t="inlineStr">
        <is>
          <t>Video Editing with CapCut / Premiere Pro</t>
        </is>
      </c>
      <c r="D46" s="24" t="inlineStr">
        <is>
          <t>From basic cuts to reels, YouTube edits and colour grading.</t>
        </is>
      </c>
      <c r="E46" s="24" t="inlineStr">
        <is>
          <t>Aspiring editors, creators</t>
        </is>
      </c>
      <c r="F46" s="24" t="inlineStr">
        <is>
          <t>One-time</t>
        </is>
      </c>
      <c r="G46" s="25" t="n">
        <v>20000</v>
      </c>
      <c r="H46" s="25" t="n">
        <v>1999</v>
      </c>
      <c r="I46" s="26">
        <f>H46*(1-Assumptions!$B$6)</f>
        <v/>
      </c>
      <c r="J46" s="27">
        <f>IF(I46&gt;0,CEILING(G46/I46,1),0)</f>
        <v/>
      </c>
      <c r="K46" s="27">
        <f>IF(H46&gt;0,CEILING(Assumptions!$B$4/H46,1),0)</f>
        <v/>
      </c>
      <c r="L46" s="27">
        <f>IF(H46&gt;0,CEILING(Assumptions!$B$5/H46,1),0)</f>
        <v/>
      </c>
      <c r="M46" s="26">
        <f>Assumptions!$B$4*(1-Assumptions!$B$6)-G46</f>
        <v/>
      </c>
      <c r="N46" s="26">
        <f>Assumptions!$B$5*(1-Assumptions!$B$6)-G46</f>
        <v/>
      </c>
      <c r="O46" s="24" t="inlineStr">
        <is>
          <t>Phone/mic + OBS/Loom, Canva slides, hosting on Graphy/TagMango/Teachable/Exly</t>
        </is>
      </c>
      <c r="P46" s="24" t="inlineStr">
        <is>
          <t>Own course platform, YouTube funnel, Instagram, webinars, Udemy, corporate L&amp;D outreach</t>
        </is>
      </c>
    </row>
    <row r="47">
      <c r="A47" s="19" t="n">
        <v>46</v>
      </c>
      <c r="B47" s="19" t="inlineStr">
        <is>
          <t>Online Courses &amp; Workshops</t>
        </is>
      </c>
      <c r="C47" s="19" t="inlineStr">
        <is>
          <t>Corporate Workshop: First-time Manager Leadership</t>
        </is>
      </c>
      <c r="D47" s="19" t="inlineStr">
        <is>
          <t>Half-day live workshop licensed per batch: delegation, feedback, 1:1s and team building.</t>
        </is>
      </c>
      <c r="E47" s="19" t="inlineStr">
        <is>
          <t>HR / L&amp;D heads of mid-size companies</t>
        </is>
      </c>
      <c r="F47" s="19" t="inlineStr">
        <is>
          <t>Per-batch licence</t>
        </is>
      </c>
      <c r="G47" s="28" t="n">
        <v>30000</v>
      </c>
      <c r="H47" s="28" t="n">
        <v>25000</v>
      </c>
      <c r="I47" s="29">
        <f>H47*(1-Assumptions!$B$6)</f>
        <v/>
      </c>
      <c r="J47" s="30">
        <f>IF(I47&gt;0,CEILING(G47/I47,1),0)</f>
        <v/>
      </c>
      <c r="K47" s="30">
        <f>IF(H47&gt;0,CEILING(Assumptions!$B$4/H47,1),0)</f>
        <v/>
      </c>
      <c r="L47" s="30">
        <f>IF(H47&gt;0,CEILING(Assumptions!$B$5/H47,1),0)</f>
        <v/>
      </c>
      <c r="M47" s="29">
        <f>Assumptions!$B$4*(1-Assumptions!$B$6)-G47</f>
        <v/>
      </c>
      <c r="N47" s="29">
        <f>Assumptions!$B$5*(1-Assumptions!$B$6)-G47</f>
        <v/>
      </c>
      <c r="O47" s="19" t="inlineStr">
        <is>
          <t>Phone/mic + OBS/Loom, Canva slides, hosting on Graphy/TagMango/Teachable/Exly</t>
        </is>
      </c>
      <c r="P47" s="19" t="inlineStr">
        <is>
          <t>Own course platform, YouTube funnel, Instagram, webinars, Udemy, corporate L&amp;D outreach</t>
        </is>
      </c>
    </row>
    <row r="48">
      <c r="A48" s="24" t="n">
        <v>47</v>
      </c>
      <c r="B48" s="24" t="inlineStr">
        <is>
          <t>Online Courses &amp; Workshops</t>
        </is>
      </c>
      <c r="C48" s="24" t="inlineStr">
        <is>
          <t>Public Speaking &amp; Presentation Skills</t>
        </is>
      </c>
      <c r="D48" s="24" t="inlineStr">
        <is>
          <t>Frameworks and practice drills to speak confidently in meetings and on stage.</t>
        </is>
      </c>
      <c r="E48" s="24" t="inlineStr">
        <is>
          <t>Professionals, students</t>
        </is>
      </c>
      <c r="F48" s="24" t="inlineStr">
        <is>
          <t>One-time</t>
        </is>
      </c>
      <c r="G48" s="25" t="n">
        <v>20000</v>
      </c>
      <c r="H48" s="25" t="n">
        <v>1999</v>
      </c>
      <c r="I48" s="26">
        <f>H48*(1-Assumptions!$B$6)</f>
        <v/>
      </c>
      <c r="J48" s="27">
        <f>IF(I48&gt;0,CEILING(G48/I48,1),0)</f>
        <v/>
      </c>
      <c r="K48" s="27">
        <f>IF(H48&gt;0,CEILING(Assumptions!$B$4/H48,1),0)</f>
        <v/>
      </c>
      <c r="L48" s="27">
        <f>IF(H48&gt;0,CEILING(Assumptions!$B$5/H48,1),0)</f>
        <v/>
      </c>
      <c r="M48" s="26">
        <f>Assumptions!$B$4*(1-Assumptions!$B$6)-G48</f>
        <v/>
      </c>
      <c r="N48" s="26">
        <f>Assumptions!$B$5*(1-Assumptions!$B$6)-G48</f>
        <v/>
      </c>
      <c r="O48" s="24" t="inlineStr">
        <is>
          <t>Phone/mic + OBS/Loom, Canva slides, hosting on Graphy/TagMango/Teachable/Exly</t>
        </is>
      </c>
      <c r="P48" s="24" t="inlineStr">
        <is>
          <t>Own course platform, YouTube funnel, Instagram, webinars, Udemy, corporate L&amp;D outreach</t>
        </is>
      </c>
    </row>
    <row r="49">
      <c r="A49" s="19" t="n">
        <v>48</v>
      </c>
      <c r="B49" s="19" t="inlineStr">
        <is>
          <t>Online Courses &amp; Workshops</t>
        </is>
      </c>
      <c r="C49" s="19" t="inlineStr">
        <is>
          <t>Home Baking Business Course</t>
        </is>
      </c>
      <c r="D49" s="19" t="inlineStr">
        <is>
          <t>Recipes, costing, packaging, FSSAI basics and selling on Instagram/Swiggy.</t>
        </is>
      </c>
      <c r="E49" s="19" t="inlineStr">
        <is>
          <t>Homemakers, hobby bakers</t>
        </is>
      </c>
      <c r="F49" s="19" t="inlineStr">
        <is>
          <t>One-time</t>
        </is>
      </c>
      <c r="G49" s="28" t="n">
        <v>20000</v>
      </c>
      <c r="H49" s="28" t="n">
        <v>1499</v>
      </c>
      <c r="I49" s="29">
        <f>H49*(1-Assumptions!$B$6)</f>
        <v/>
      </c>
      <c r="J49" s="30">
        <f>IF(I49&gt;0,CEILING(G49/I49,1),0)</f>
        <v/>
      </c>
      <c r="K49" s="30">
        <f>IF(H49&gt;0,CEILING(Assumptions!$B$4/H49,1),0)</f>
        <v/>
      </c>
      <c r="L49" s="30">
        <f>IF(H49&gt;0,CEILING(Assumptions!$B$5/H49,1),0)</f>
        <v/>
      </c>
      <c r="M49" s="29">
        <f>Assumptions!$B$4*(1-Assumptions!$B$6)-G49</f>
        <v/>
      </c>
      <c r="N49" s="29">
        <f>Assumptions!$B$5*(1-Assumptions!$B$6)-G49</f>
        <v/>
      </c>
      <c r="O49" s="19" t="inlineStr">
        <is>
          <t>Phone/mic + OBS/Loom, Canva slides, hosting on Graphy/TagMango/Teachable/Exly</t>
        </is>
      </c>
      <c r="P49" s="19" t="inlineStr">
        <is>
          <t>Own course platform, YouTube funnel, Instagram, webinars, Udemy, corporate L&amp;D outreach</t>
        </is>
      </c>
    </row>
    <row r="50">
      <c r="A50" s="24" t="n">
        <v>49</v>
      </c>
      <c r="B50" s="24" t="inlineStr">
        <is>
          <t>Online Courses &amp; Workshops</t>
        </is>
      </c>
      <c r="C50" s="24" t="inlineStr">
        <is>
          <t>Interview Preparation Bootcamp</t>
        </is>
      </c>
      <c r="D50" s="24" t="inlineStr">
        <is>
          <t>Resume, HR round, technical-round strategy and mock-interview recordings.</t>
        </is>
      </c>
      <c r="E50" s="24" t="inlineStr">
        <is>
          <t>Freshers, job switchers</t>
        </is>
      </c>
      <c r="F50" s="24" t="inlineStr">
        <is>
          <t>One-time</t>
        </is>
      </c>
      <c r="G50" s="25" t="n">
        <v>15000</v>
      </c>
      <c r="H50" s="25" t="n">
        <v>1499</v>
      </c>
      <c r="I50" s="26">
        <f>H50*(1-Assumptions!$B$6)</f>
        <v/>
      </c>
      <c r="J50" s="27">
        <f>IF(I50&gt;0,CEILING(G50/I50,1),0)</f>
        <v/>
      </c>
      <c r="K50" s="27">
        <f>IF(H50&gt;0,CEILING(Assumptions!$B$4/H50,1),0)</f>
        <v/>
      </c>
      <c r="L50" s="27">
        <f>IF(H50&gt;0,CEILING(Assumptions!$B$5/H50,1),0)</f>
        <v/>
      </c>
      <c r="M50" s="26">
        <f>Assumptions!$B$4*(1-Assumptions!$B$6)-G50</f>
        <v/>
      </c>
      <c r="N50" s="26">
        <f>Assumptions!$B$5*(1-Assumptions!$B$6)-G50</f>
        <v/>
      </c>
      <c r="O50" s="24" t="inlineStr">
        <is>
          <t>Phone/mic + OBS/Loom, Canva slides, hosting on Graphy/TagMango/Teachable/Exly</t>
        </is>
      </c>
      <c r="P50" s="24" t="inlineStr">
        <is>
          <t>Own course platform, YouTube funnel, Instagram, webinars, Udemy, corporate L&amp;D outreach</t>
        </is>
      </c>
    </row>
    <row r="51">
      <c r="A51" s="19" t="n">
        <v>50</v>
      </c>
      <c r="B51" s="19" t="inlineStr">
        <is>
          <t>Online Courses &amp; Workshops</t>
        </is>
      </c>
      <c r="C51" s="19" t="inlineStr">
        <is>
          <t>Tally Prime &amp; GST Accounting Course</t>
        </is>
      </c>
      <c r="D51" s="19" t="inlineStr">
        <is>
          <t>Practical bookkeeping, GST returns and TDS in Tally Prime.</t>
        </is>
      </c>
      <c r="E51" s="19" t="inlineStr">
        <is>
          <t>Commerce graduates, junior accountants</t>
        </is>
      </c>
      <c r="F51" s="19" t="inlineStr">
        <is>
          <t>One-time</t>
        </is>
      </c>
      <c r="G51" s="28" t="n">
        <v>20000</v>
      </c>
      <c r="H51" s="28" t="n">
        <v>1999</v>
      </c>
      <c r="I51" s="29">
        <f>H51*(1-Assumptions!$B$6)</f>
        <v/>
      </c>
      <c r="J51" s="30">
        <f>IF(I51&gt;0,CEILING(G51/I51,1),0)</f>
        <v/>
      </c>
      <c r="K51" s="30">
        <f>IF(H51&gt;0,CEILING(Assumptions!$B$4/H51,1),0)</f>
        <v/>
      </c>
      <c r="L51" s="30">
        <f>IF(H51&gt;0,CEILING(Assumptions!$B$5/H51,1),0)</f>
        <v/>
      </c>
      <c r="M51" s="29">
        <f>Assumptions!$B$4*(1-Assumptions!$B$6)-G51</f>
        <v/>
      </c>
      <c r="N51" s="29">
        <f>Assumptions!$B$5*(1-Assumptions!$B$6)-G51</f>
        <v/>
      </c>
      <c r="O51" s="19" t="inlineStr">
        <is>
          <t>Phone/mic + OBS/Loom, Canva slides, hosting on Graphy/TagMango/Teachable/Exly</t>
        </is>
      </c>
      <c r="P51" s="19" t="inlineStr">
        <is>
          <t>Own course platform, YouTube funnel, Instagram, webinars, Udemy, corporate L&amp;D outreach</t>
        </is>
      </c>
    </row>
    <row r="52">
      <c r="A52" s="24" t="n">
        <v>51</v>
      </c>
      <c r="B52" s="24" t="inlineStr">
        <is>
          <t>Online Courses &amp; Workshops</t>
        </is>
      </c>
      <c r="C52" s="24" t="inlineStr">
        <is>
          <t>Power BI / Data Analytics Course</t>
        </is>
      </c>
      <c r="D52" s="24" t="inlineStr">
        <is>
          <t>Data cleaning, DAX and dashboards with real business datasets.</t>
        </is>
      </c>
      <c r="E52" s="24" t="inlineStr">
        <is>
          <t>Analysts, MBA students, IT professionals</t>
        </is>
      </c>
      <c r="F52" s="24" t="inlineStr">
        <is>
          <t>One-time</t>
        </is>
      </c>
      <c r="G52" s="25" t="n">
        <v>30000</v>
      </c>
      <c r="H52" s="25" t="n">
        <v>3999</v>
      </c>
      <c r="I52" s="26">
        <f>H52*(1-Assumptions!$B$6)</f>
        <v/>
      </c>
      <c r="J52" s="27">
        <f>IF(I52&gt;0,CEILING(G52/I52,1),0)</f>
        <v/>
      </c>
      <c r="K52" s="27">
        <f>IF(H52&gt;0,CEILING(Assumptions!$B$4/H52,1),0)</f>
        <v/>
      </c>
      <c r="L52" s="27">
        <f>IF(H52&gt;0,CEILING(Assumptions!$B$5/H52,1),0)</f>
        <v/>
      </c>
      <c r="M52" s="26">
        <f>Assumptions!$B$4*(1-Assumptions!$B$6)-G52</f>
        <v/>
      </c>
      <c r="N52" s="26">
        <f>Assumptions!$B$5*(1-Assumptions!$B$6)-G52</f>
        <v/>
      </c>
      <c r="O52" s="24" t="inlineStr">
        <is>
          <t>Phone/mic + OBS/Loom, Canva slides, hosting on Graphy/TagMango/Teachable/Exly</t>
        </is>
      </c>
      <c r="P52" s="24" t="inlineStr">
        <is>
          <t>Own course platform, YouTube funnel, Instagram, webinars, Udemy, corporate L&amp;D outreach</t>
        </is>
      </c>
    </row>
    <row r="53">
      <c r="A53" s="19" t="n">
        <v>52</v>
      </c>
      <c r="B53" s="19" t="inlineStr">
        <is>
          <t>Online Courses &amp; Workshops</t>
        </is>
      </c>
      <c r="C53" s="19" t="inlineStr">
        <is>
          <t>Personal Finance for Salaried Employees</t>
        </is>
      </c>
      <c r="D53" s="19" t="inlineStr">
        <is>
          <t>Budgeting, emergency fund, insurance, tax saving and SIP investing.</t>
        </is>
      </c>
      <c r="E53" s="19" t="inlineStr">
        <is>
          <t>Salaried employees aged 22-40</t>
        </is>
      </c>
      <c r="F53" s="19" t="inlineStr">
        <is>
          <t>One-time</t>
        </is>
      </c>
      <c r="G53" s="28" t="n">
        <v>15000</v>
      </c>
      <c r="H53" s="28" t="n">
        <v>999</v>
      </c>
      <c r="I53" s="29">
        <f>H53*(1-Assumptions!$B$6)</f>
        <v/>
      </c>
      <c r="J53" s="30">
        <f>IF(I53&gt;0,CEILING(G53/I53,1),0)</f>
        <v/>
      </c>
      <c r="K53" s="30">
        <f>IF(H53&gt;0,CEILING(Assumptions!$B$4/H53,1),0)</f>
        <v/>
      </c>
      <c r="L53" s="30">
        <f>IF(H53&gt;0,CEILING(Assumptions!$B$5/H53,1),0)</f>
        <v/>
      </c>
      <c r="M53" s="29">
        <f>Assumptions!$B$4*(1-Assumptions!$B$6)-G53</f>
        <v/>
      </c>
      <c r="N53" s="29">
        <f>Assumptions!$B$5*(1-Assumptions!$B$6)-G53</f>
        <v/>
      </c>
      <c r="O53" s="19" t="inlineStr">
        <is>
          <t>Phone/mic + OBS/Loom, Canva slides, hosting on Graphy/TagMango/Teachable/Exly</t>
        </is>
      </c>
      <c r="P53" s="19" t="inlineStr">
        <is>
          <t>Own course platform, YouTube funnel, Instagram, webinars, Udemy, corporate L&amp;D outreach</t>
        </is>
      </c>
    </row>
    <row r="54">
      <c r="A54" s="24" t="n">
        <v>53</v>
      </c>
      <c r="B54" s="24" t="inlineStr">
        <is>
          <t>Online Courses &amp; Workshops</t>
        </is>
      </c>
      <c r="C54" s="24" t="inlineStr">
        <is>
          <t>Selling on Amazon / Flipkart / Meesho</t>
        </is>
      </c>
      <c r="D54" s="24" t="inlineStr">
        <is>
          <t>Account setup, listing optimisation, ads, pricing and logistics.</t>
        </is>
      </c>
      <c r="E54" s="24" t="inlineStr">
        <is>
          <t>New e-commerce sellers, manufacturers</t>
        </is>
      </c>
      <c r="F54" s="24" t="inlineStr">
        <is>
          <t>One-time</t>
        </is>
      </c>
      <c r="G54" s="25" t="n">
        <v>20000</v>
      </c>
      <c r="H54" s="25" t="n">
        <v>2499</v>
      </c>
      <c r="I54" s="26">
        <f>H54*(1-Assumptions!$B$6)</f>
        <v/>
      </c>
      <c r="J54" s="27">
        <f>IF(I54&gt;0,CEILING(G54/I54,1),0)</f>
        <v/>
      </c>
      <c r="K54" s="27">
        <f>IF(H54&gt;0,CEILING(Assumptions!$B$4/H54,1),0)</f>
        <v/>
      </c>
      <c r="L54" s="27">
        <f>IF(H54&gt;0,CEILING(Assumptions!$B$5/H54,1),0)</f>
        <v/>
      </c>
      <c r="M54" s="26">
        <f>Assumptions!$B$4*(1-Assumptions!$B$6)-G54</f>
        <v/>
      </c>
      <c r="N54" s="26">
        <f>Assumptions!$B$5*(1-Assumptions!$B$6)-G54</f>
        <v/>
      </c>
      <c r="O54" s="24" t="inlineStr">
        <is>
          <t>Phone/mic + OBS/Loom, Canva slides, hosting on Graphy/TagMango/Teachable/Exly</t>
        </is>
      </c>
      <c r="P54" s="24" t="inlineStr">
        <is>
          <t>Own course platform, YouTube funnel, Instagram, webinars, Udemy, corporate L&amp;D outreach</t>
        </is>
      </c>
    </row>
    <row r="55">
      <c r="A55" s="19" t="n">
        <v>54</v>
      </c>
      <c r="B55" s="19" t="inlineStr">
        <is>
          <t>Online Courses &amp; Workshops</t>
        </is>
      </c>
      <c r="C55" s="19" t="inlineStr">
        <is>
          <t>Live Cohort: Build a Personal Brand on LinkedIn</t>
        </is>
      </c>
      <c r="D55" s="19" t="inlineStr">
        <is>
          <t>4-week live cohort with weekly assignments and feedback - higher price because of live access.</t>
        </is>
      </c>
      <c r="E55" s="19" t="inlineStr">
        <is>
          <t>Consultants, senior professionals</t>
        </is>
      </c>
      <c r="F55" s="19" t="inlineStr">
        <is>
          <t>Per cohort seat</t>
        </is>
      </c>
      <c r="G55" s="28" t="n">
        <v>10000</v>
      </c>
      <c r="H55" s="28" t="n">
        <v>4999</v>
      </c>
      <c r="I55" s="29">
        <f>H55*(1-Assumptions!$B$6)</f>
        <v/>
      </c>
      <c r="J55" s="30">
        <f>IF(I55&gt;0,CEILING(G55/I55,1),0)</f>
        <v/>
      </c>
      <c r="K55" s="30">
        <f>IF(H55&gt;0,CEILING(Assumptions!$B$4/H55,1),0)</f>
        <v/>
      </c>
      <c r="L55" s="30">
        <f>IF(H55&gt;0,CEILING(Assumptions!$B$5/H55,1),0)</f>
        <v/>
      </c>
      <c r="M55" s="29">
        <f>Assumptions!$B$4*(1-Assumptions!$B$6)-G55</f>
        <v/>
      </c>
      <c r="N55" s="29">
        <f>Assumptions!$B$5*(1-Assumptions!$B$6)-G55</f>
        <v/>
      </c>
      <c r="O55" s="19" t="inlineStr">
        <is>
          <t>Phone/mic + OBS/Loom, Canva slides, hosting on Graphy/TagMango/Teachable/Exly</t>
        </is>
      </c>
      <c r="P55" s="19" t="inlineStr">
        <is>
          <t>Own course platform, YouTube funnel, Instagram, webinars, Udemy, corporate L&amp;D outreach</t>
        </is>
      </c>
    </row>
    <row r="56">
      <c r="A56" s="24" t="n">
        <v>55</v>
      </c>
      <c r="B56" s="24" t="inlineStr">
        <is>
          <t>eBooks &amp; Guides</t>
        </is>
      </c>
      <c r="C56" s="24" t="inlineStr">
        <is>
          <t>Start a Business Under ₹50,000 - Playbook</t>
        </is>
      </c>
      <c r="D56" s="24" t="inlineStr">
        <is>
          <t>30 low-investment business models with setup steps, costs and first-customer strategies.</t>
        </is>
      </c>
      <c r="E56" s="24" t="inlineStr">
        <is>
          <t>Aspiring entrepreneurs, students</t>
        </is>
      </c>
      <c r="F56" s="24" t="inlineStr">
        <is>
          <t>One-time</t>
        </is>
      </c>
      <c r="G56" s="25" t="n">
        <v>5000</v>
      </c>
      <c r="H56" s="25" t="n">
        <v>299</v>
      </c>
      <c r="I56" s="26">
        <f>H56*(1-Assumptions!$B$6)</f>
        <v/>
      </c>
      <c r="J56" s="27">
        <f>IF(I56&gt;0,CEILING(G56/I56,1),0)</f>
        <v/>
      </c>
      <c r="K56" s="27">
        <f>IF(H56&gt;0,CEILING(Assumptions!$B$4/H56,1),0)</f>
        <v/>
      </c>
      <c r="L56" s="27">
        <f>IF(H56&gt;0,CEILING(Assumptions!$B$5/H56,1),0)</f>
        <v/>
      </c>
      <c r="M56" s="26">
        <f>Assumptions!$B$4*(1-Assumptions!$B$6)-G56</f>
        <v/>
      </c>
      <c r="N56" s="26">
        <f>Assumptions!$B$5*(1-Assumptions!$B$6)-G56</f>
        <v/>
      </c>
      <c r="O56" s="24" t="inlineStr">
        <is>
          <t>Google Docs/Canva, AI for research &amp; outlines, own expertise, ISBN optional</t>
        </is>
      </c>
      <c r="P56" s="24" t="inlineStr">
        <is>
          <t>Own website, Amazon Kindle (KDP), Instamojo, Gumroad, Instagram/YouTube lead magnets</t>
        </is>
      </c>
    </row>
    <row r="57">
      <c r="A57" s="19" t="n">
        <v>56</v>
      </c>
      <c r="B57" s="19" t="inlineStr">
        <is>
          <t>eBooks &amp; Guides</t>
        </is>
      </c>
      <c r="C57" s="19" t="inlineStr">
        <is>
          <t>GST Registration &amp; Filing Guide</t>
        </is>
      </c>
      <c r="D57" s="19" t="inlineStr">
        <is>
          <t>Step-by-step screenshots for registration, GSTR-1/3B filing and common mistakes.</t>
        </is>
      </c>
      <c r="E57" s="19" t="inlineStr">
        <is>
          <t>Small businesses, new sellers</t>
        </is>
      </c>
      <c r="F57" s="19" t="inlineStr">
        <is>
          <t>One-time</t>
        </is>
      </c>
      <c r="G57" s="28" t="n">
        <v>5000</v>
      </c>
      <c r="H57" s="28" t="n">
        <v>399</v>
      </c>
      <c r="I57" s="29">
        <f>H57*(1-Assumptions!$B$6)</f>
        <v/>
      </c>
      <c r="J57" s="30">
        <f>IF(I57&gt;0,CEILING(G57/I57,1),0)</f>
        <v/>
      </c>
      <c r="K57" s="30">
        <f>IF(H57&gt;0,CEILING(Assumptions!$B$4/H57,1),0)</f>
        <v/>
      </c>
      <c r="L57" s="30">
        <f>IF(H57&gt;0,CEILING(Assumptions!$B$5/H57,1),0)</f>
        <v/>
      </c>
      <c r="M57" s="29">
        <f>Assumptions!$B$4*(1-Assumptions!$B$6)-G57</f>
        <v/>
      </c>
      <c r="N57" s="29">
        <f>Assumptions!$B$5*(1-Assumptions!$B$6)-G57</f>
        <v/>
      </c>
      <c r="O57" s="19" t="inlineStr">
        <is>
          <t>Google Docs/Canva, AI for research &amp; outlines, own expertise, ISBN optional</t>
        </is>
      </c>
      <c r="P57" s="19" t="inlineStr">
        <is>
          <t>Own website, Amazon Kindle (KDP), Instamojo, Gumroad, Instagram/YouTube lead magnets</t>
        </is>
      </c>
    </row>
    <row r="58">
      <c r="A58" s="24" t="n">
        <v>57</v>
      </c>
      <c r="B58" s="24" t="inlineStr">
        <is>
          <t>eBooks &amp; Guides</t>
        </is>
      </c>
      <c r="C58" s="24" t="inlineStr">
        <is>
          <t>100 Side Hustle Ideas for India</t>
        </is>
      </c>
      <c r="D58" s="24" t="inlineStr">
        <is>
          <t>Side income ideas with investment, skills needed and realistic earnings.</t>
        </is>
      </c>
      <c r="E58" s="24" t="inlineStr">
        <is>
          <t>Salaried employees, students</t>
        </is>
      </c>
      <c r="F58" s="24" t="inlineStr">
        <is>
          <t>One-time</t>
        </is>
      </c>
      <c r="G58" s="25" t="n">
        <v>4000</v>
      </c>
      <c r="H58" s="25" t="n">
        <v>199</v>
      </c>
      <c r="I58" s="26">
        <f>H58*(1-Assumptions!$B$6)</f>
        <v/>
      </c>
      <c r="J58" s="27">
        <f>IF(I58&gt;0,CEILING(G58/I58,1),0)</f>
        <v/>
      </c>
      <c r="K58" s="27">
        <f>IF(H58&gt;0,CEILING(Assumptions!$B$4/H58,1),0)</f>
        <v/>
      </c>
      <c r="L58" s="27">
        <f>IF(H58&gt;0,CEILING(Assumptions!$B$5/H58,1),0)</f>
        <v/>
      </c>
      <c r="M58" s="26">
        <f>Assumptions!$B$4*(1-Assumptions!$B$6)-G58</f>
        <v/>
      </c>
      <c r="N58" s="26">
        <f>Assumptions!$B$5*(1-Assumptions!$B$6)-G58</f>
        <v/>
      </c>
      <c r="O58" s="24" t="inlineStr">
        <is>
          <t>Google Docs/Canva, AI for research &amp; outlines, own expertise, ISBN optional</t>
        </is>
      </c>
      <c r="P58" s="24" t="inlineStr">
        <is>
          <t>Own website, Amazon Kindle (KDP), Instamojo, Gumroad, Instagram/YouTube lead magnets</t>
        </is>
      </c>
    </row>
    <row r="59">
      <c r="A59" s="19" t="n">
        <v>58</v>
      </c>
      <c r="B59" s="19" t="inlineStr">
        <is>
          <t>eBooks &amp; Guides</t>
        </is>
      </c>
      <c r="C59" s="19" t="inlineStr">
        <is>
          <t>Resume &amp; LinkedIn Profile Guide + Templates</t>
        </is>
      </c>
      <c r="D59" s="19" t="inlineStr">
        <is>
          <t>Recruiter-approved resume formulas plus LinkedIn headline/about templates.</t>
        </is>
      </c>
      <c r="E59" s="19" t="inlineStr">
        <is>
          <t>Job seekers, freshers</t>
        </is>
      </c>
      <c r="F59" s="19" t="inlineStr">
        <is>
          <t>One-time</t>
        </is>
      </c>
      <c r="G59" s="28" t="n">
        <v>3000</v>
      </c>
      <c r="H59" s="28" t="n">
        <v>299</v>
      </c>
      <c r="I59" s="29">
        <f>H59*(1-Assumptions!$B$6)</f>
        <v/>
      </c>
      <c r="J59" s="30">
        <f>IF(I59&gt;0,CEILING(G59/I59,1),0)</f>
        <v/>
      </c>
      <c r="K59" s="30">
        <f>IF(H59&gt;0,CEILING(Assumptions!$B$4/H59,1),0)</f>
        <v/>
      </c>
      <c r="L59" s="30">
        <f>IF(H59&gt;0,CEILING(Assumptions!$B$5/H59,1),0)</f>
        <v/>
      </c>
      <c r="M59" s="29">
        <f>Assumptions!$B$4*(1-Assumptions!$B$6)-G59</f>
        <v/>
      </c>
      <c r="N59" s="29">
        <f>Assumptions!$B$5*(1-Assumptions!$B$6)-G59</f>
        <v/>
      </c>
      <c r="O59" s="19" t="inlineStr">
        <is>
          <t>Google Docs/Canva, AI for research &amp; outlines, own expertise, ISBN optional</t>
        </is>
      </c>
      <c r="P59" s="19" t="inlineStr">
        <is>
          <t>Own website, Amazon Kindle (KDP), Instamojo, Gumroad, Instagram/YouTube lead magnets</t>
        </is>
      </c>
    </row>
    <row r="60">
      <c r="A60" s="24" t="n">
        <v>59</v>
      </c>
      <c r="B60" s="24" t="inlineStr">
        <is>
          <t>eBooks &amp; Guides</t>
        </is>
      </c>
      <c r="C60" s="24" t="inlineStr">
        <is>
          <t>Cold Email Playbook for B2B</t>
        </is>
      </c>
      <c r="D60" s="24" t="inlineStr">
        <is>
          <t>Subject lines, sequences and 50 templates that get replies.</t>
        </is>
      </c>
      <c r="E60" s="24" t="inlineStr">
        <is>
          <t>Founders, agency owners, SDRs</t>
        </is>
      </c>
      <c r="F60" s="24" t="inlineStr">
        <is>
          <t>One-time</t>
        </is>
      </c>
      <c r="G60" s="25" t="n">
        <v>4000</v>
      </c>
      <c r="H60" s="25" t="n">
        <v>499</v>
      </c>
      <c r="I60" s="26">
        <f>H60*(1-Assumptions!$B$6)</f>
        <v/>
      </c>
      <c r="J60" s="27">
        <f>IF(I60&gt;0,CEILING(G60/I60,1),0)</f>
        <v/>
      </c>
      <c r="K60" s="27">
        <f>IF(H60&gt;0,CEILING(Assumptions!$B$4/H60,1),0)</f>
        <v/>
      </c>
      <c r="L60" s="27">
        <f>IF(H60&gt;0,CEILING(Assumptions!$B$5/H60,1),0)</f>
        <v/>
      </c>
      <c r="M60" s="26">
        <f>Assumptions!$B$4*(1-Assumptions!$B$6)-G60</f>
        <v/>
      </c>
      <c r="N60" s="26">
        <f>Assumptions!$B$5*(1-Assumptions!$B$6)-G60</f>
        <v/>
      </c>
      <c r="O60" s="24" t="inlineStr">
        <is>
          <t>Google Docs/Canva, AI for research &amp; outlines, own expertise, ISBN optional</t>
        </is>
      </c>
      <c r="P60" s="24" t="inlineStr">
        <is>
          <t>Own website, Amazon Kindle (KDP), Instamojo, Gumroad, Instagram/YouTube lead magnets</t>
        </is>
      </c>
    </row>
    <row r="61">
      <c r="A61" s="19" t="n">
        <v>60</v>
      </c>
      <c r="B61" s="19" t="inlineStr">
        <is>
          <t>eBooks &amp; Guides</t>
        </is>
      </c>
      <c r="C61" s="19" t="inlineStr">
        <is>
          <t>Parenting Guide: Screen Time &amp; Study Habits</t>
        </is>
      </c>
      <c r="D61" s="19" t="inlineStr">
        <is>
          <t>Practical routines to reduce screen time and build study discipline in children.</t>
        </is>
      </c>
      <c r="E61" s="19" t="inlineStr">
        <is>
          <t>Parents of 5-15 year olds</t>
        </is>
      </c>
      <c r="F61" s="19" t="inlineStr">
        <is>
          <t>One-time</t>
        </is>
      </c>
      <c r="G61" s="28" t="n">
        <v>4000</v>
      </c>
      <c r="H61" s="28" t="n">
        <v>299</v>
      </c>
      <c r="I61" s="29">
        <f>H61*(1-Assumptions!$B$6)</f>
        <v/>
      </c>
      <c r="J61" s="30">
        <f>IF(I61&gt;0,CEILING(G61/I61,1),0)</f>
        <v/>
      </c>
      <c r="K61" s="30">
        <f>IF(H61&gt;0,CEILING(Assumptions!$B$4/H61,1),0)</f>
        <v/>
      </c>
      <c r="L61" s="30">
        <f>IF(H61&gt;0,CEILING(Assumptions!$B$5/H61,1),0)</f>
        <v/>
      </c>
      <c r="M61" s="29">
        <f>Assumptions!$B$4*(1-Assumptions!$B$6)-G61</f>
        <v/>
      </c>
      <c r="N61" s="29">
        <f>Assumptions!$B$5*(1-Assumptions!$B$6)-G61</f>
        <v/>
      </c>
      <c r="O61" s="19" t="inlineStr">
        <is>
          <t>Google Docs/Canva, AI for research &amp; outlines, own expertise, ISBN optional</t>
        </is>
      </c>
      <c r="P61" s="19" t="inlineStr">
        <is>
          <t>Own website, Amazon Kindle (KDP), Instamojo, Gumroad, Instagram/YouTube lead magnets</t>
        </is>
      </c>
    </row>
    <row r="62">
      <c r="A62" s="24" t="n">
        <v>61</v>
      </c>
      <c r="B62" s="24" t="inlineStr">
        <is>
          <t>eBooks &amp; Guides</t>
        </is>
      </c>
      <c r="C62" s="24" t="inlineStr">
        <is>
          <t>Healthy Indian Tiffin Recipe eBook</t>
        </is>
      </c>
      <c r="D62" s="24" t="inlineStr">
        <is>
          <t>60 quick, healthy lunch-box recipes with shopping lists.</t>
        </is>
      </c>
      <c r="E62" s="24" t="inlineStr">
        <is>
          <t>Working parents, homemakers</t>
        </is>
      </c>
      <c r="F62" s="24" t="inlineStr">
        <is>
          <t>One-time</t>
        </is>
      </c>
      <c r="G62" s="25" t="n">
        <v>5000</v>
      </c>
      <c r="H62" s="25" t="n">
        <v>249</v>
      </c>
      <c r="I62" s="26">
        <f>H62*(1-Assumptions!$B$6)</f>
        <v/>
      </c>
      <c r="J62" s="27">
        <f>IF(I62&gt;0,CEILING(G62/I62,1),0)</f>
        <v/>
      </c>
      <c r="K62" s="27">
        <f>IF(H62&gt;0,CEILING(Assumptions!$B$4/H62,1),0)</f>
        <v/>
      </c>
      <c r="L62" s="27">
        <f>IF(H62&gt;0,CEILING(Assumptions!$B$5/H62,1),0)</f>
        <v/>
      </c>
      <c r="M62" s="26">
        <f>Assumptions!$B$4*(1-Assumptions!$B$6)-G62</f>
        <v/>
      </c>
      <c r="N62" s="26">
        <f>Assumptions!$B$5*(1-Assumptions!$B$6)-G62</f>
        <v/>
      </c>
      <c r="O62" s="24" t="inlineStr">
        <is>
          <t>Google Docs/Canva, AI for research &amp; outlines, own expertise, ISBN optional</t>
        </is>
      </c>
      <c r="P62" s="24" t="inlineStr">
        <is>
          <t>Own website, Amazon Kindle (KDP), Instamojo, Gumroad, Instagram/YouTube lead magnets</t>
        </is>
      </c>
    </row>
    <row r="63">
      <c r="A63" s="19" t="n">
        <v>62</v>
      </c>
      <c r="B63" s="19" t="inlineStr">
        <is>
          <t>eBooks &amp; Guides</t>
        </is>
      </c>
      <c r="C63" s="19" t="inlineStr">
        <is>
          <t>Travel Itinerary Guides (Kashmir, Goa, Northeast)</t>
        </is>
      </c>
      <c r="D63" s="19" t="inlineStr">
        <is>
          <t>Day-wise itineraries, budgets, stays and local tips for popular destinations.</t>
        </is>
      </c>
      <c r="E63" s="19" t="inlineStr">
        <is>
          <t>Travellers, honeymooners</t>
        </is>
      </c>
      <c r="F63" s="19" t="inlineStr">
        <is>
          <t>One-time</t>
        </is>
      </c>
      <c r="G63" s="28" t="n">
        <v>6000</v>
      </c>
      <c r="H63" s="28" t="n">
        <v>299</v>
      </c>
      <c r="I63" s="29">
        <f>H63*(1-Assumptions!$B$6)</f>
        <v/>
      </c>
      <c r="J63" s="30">
        <f>IF(I63&gt;0,CEILING(G63/I63,1),0)</f>
        <v/>
      </c>
      <c r="K63" s="30">
        <f>IF(H63&gt;0,CEILING(Assumptions!$B$4/H63,1),0)</f>
        <v/>
      </c>
      <c r="L63" s="30">
        <f>IF(H63&gt;0,CEILING(Assumptions!$B$5/H63,1),0)</f>
        <v/>
      </c>
      <c r="M63" s="29">
        <f>Assumptions!$B$4*(1-Assumptions!$B$6)-G63</f>
        <v/>
      </c>
      <c r="N63" s="29">
        <f>Assumptions!$B$5*(1-Assumptions!$B$6)-G63</f>
        <v/>
      </c>
      <c r="O63" s="19" t="inlineStr">
        <is>
          <t>Google Docs/Canva, AI for research &amp; outlines, own expertise, ISBN optional</t>
        </is>
      </c>
      <c r="P63" s="19" t="inlineStr">
        <is>
          <t>Own website, Amazon Kindle (KDP), Instamojo, Gumroad, Instagram/YouTube lead magnets</t>
        </is>
      </c>
    </row>
    <row r="64">
      <c r="A64" s="24" t="n">
        <v>63</v>
      </c>
      <c r="B64" s="24" t="inlineStr">
        <is>
          <t>eBooks &amp; Guides</t>
        </is>
      </c>
      <c r="C64" s="24" t="inlineStr">
        <is>
          <t>Mutual Fund Investing Handbook</t>
        </is>
      </c>
      <c r="D64" s="24" t="inlineStr">
        <is>
          <t>How to pick funds, SIP strategy, tax rules and portfolio review.</t>
        </is>
      </c>
      <c r="E64" s="24" t="inlineStr">
        <is>
          <t>New investors</t>
        </is>
      </c>
      <c r="F64" s="24" t="inlineStr">
        <is>
          <t>One-time</t>
        </is>
      </c>
      <c r="G64" s="25" t="n">
        <v>4000</v>
      </c>
      <c r="H64" s="25" t="n">
        <v>299</v>
      </c>
      <c r="I64" s="26">
        <f>H64*(1-Assumptions!$B$6)</f>
        <v/>
      </c>
      <c r="J64" s="27">
        <f>IF(I64&gt;0,CEILING(G64/I64,1),0)</f>
        <v/>
      </c>
      <c r="K64" s="27">
        <f>IF(H64&gt;0,CEILING(Assumptions!$B$4/H64,1),0)</f>
        <v/>
      </c>
      <c r="L64" s="27">
        <f>IF(H64&gt;0,CEILING(Assumptions!$B$5/H64,1),0)</f>
        <v/>
      </c>
      <c r="M64" s="26">
        <f>Assumptions!$B$4*(1-Assumptions!$B$6)-G64</f>
        <v/>
      </c>
      <c r="N64" s="26">
        <f>Assumptions!$B$5*(1-Assumptions!$B$6)-G64</f>
        <v/>
      </c>
      <c r="O64" s="24" t="inlineStr">
        <is>
          <t>Google Docs/Canva, AI for research &amp; outlines, own expertise, ISBN optional</t>
        </is>
      </c>
      <c r="P64" s="24" t="inlineStr">
        <is>
          <t>Own website, Amazon Kindle (KDP), Instamojo, Gumroad, Instagram/YouTube lead magnets</t>
        </is>
      </c>
    </row>
    <row r="65">
      <c r="A65" s="19" t="n">
        <v>64</v>
      </c>
      <c r="B65" s="19" t="inlineStr">
        <is>
          <t>eBooks &amp; Guides</t>
        </is>
      </c>
      <c r="C65" s="19" t="inlineStr">
        <is>
          <t>Interior Design on a Budget (Indian Homes)</t>
        </is>
      </c>
      <c r="D65" s="19" t="inlineStr">
        <is>
          <t>Room-by-room ideas, material costs and before/after examples.</t>
        </is>
      </c>
      <c r="E65" s="19" t="inlineStr">
        <is>
          <t>New homeowners, renters</t>
        </is>
      </c>
      <c r="F65" s="19" t="inlineStr">
        <is>
          <t>One-time</t>
        </is>
      </c>
      <c r="G65" s="28" t="n">
        <v>5000</v>
      </c>
      <c r="H65" s="28" t="n">
        <v>399</v>
      </c>
      <c r="I65" s="29">
        <f>H65*(1-Assumptions!$B$6)</f>
        <v/>
      </c>
      <c r="J65" s="30">
        <f>IF(I65&gt;0,CEILING(G65/I65,1),0)</f>
        <v/>
      </c>
      <c r="K65" s="30">
        <f>IF(H65&gt;0,CEILING(Assumptions!$B$4/H65,1),0)</f>
        <v/>
      </c>
      <c r="L65" s="30">
        <f>IF(H65&gt;0,CEILING(Assumptions!$B$5/H65,1),0)</f>
        <v/>
      </c>
      <c r="M65" s="29">
        <f>Assumptions!$B$4*(1-Assumptions!$B$6)-G65</f>
        <v/>
      </c>
      <c r="N65" s="29">
        <f>Assumptions!$B$5*(1-Assumptions!$B$6)-G65</f>
        <v/>
      </c>
      <c r="O65" s="19" t="inlineStr">
        <is>
          <t>Google Docs/Canva, AI for research &amp; outlines, own expertise, ISBN optional</t>
        </is>
      </c>
      <c r="P65" s="19" t="inlineStr">
        <is>
          <t>Own website, Amazon Kindle (KDP), Instamojo, Gumroad, Instagram/YouTube lead magnets</t>
        </is>
      </c>
    </row>
    <row r="66">
      <c r="A66" s="24" t="n">
        <v>65</v>
      </c>
      <c r="B66" s="24" t="inlineStr">
        <is>
          <t>eBooks &amp; Guides</t>
        </is>
      </c>
      <c r="C66" s="24" t="inlineStr">
        <is>
          <t>Company Registration Guide (Pvt Ltd / LLP / OPC)</t>
        </is>
      </c>
      <c r="D66" s="24" t="inlineStr">
        <is>
          <t>Compare structures, documents needed, costs and the MCA filing process.</t>
        </is>
      </c>
      <c r="E66" s="24" t="inlineStr">
        <is>
          <t>Founders, freelancers going formal</t>
        </is>
      </c>
      <c r="F66" s="24" t="inlineStr">
        <is>
          <t>One-time</t>
        </is>
      </c>
      <c r="G66" s="25" t="n">
        <v>4000</v>
      </c>
      <c r="H66" s="25" t="n">
        <v>499</v>
      </c>
      <c r="I66" s="26">
        <f>H66*(1-Assumptions!$B$6)</f>
        <v/>
      </c>
      <c r="J66" s="27">
        <f>IF(I66&gt;0,CEILING(G66/I66,1),0)</f>
        <v/>
      </c>
      <c r="K66" s="27">
        <f>IF(H66&gt;0,CEILING(Assumptions!$B$4/H66,1),0)</f>
        <v/>
      </c>
      <c r="L66" s="27">
        <f>IF(H66&gt;0,CEILING(Assumptions!$B$5/H66,1),0)</f>
        <v/>
      </c>
      <c r="M66" s="26">
        <f>Assumptions!$B$4*(1-Assumptions!$B$6)-G66</f>
        <v/>
      </c>
      <c r="N66" s="26">
        <f>Assumptions!$B$5*(1-Assumptions!$B$6)-G66</f>
        <v/>
      </c>
      <c r="O66" s="24" t="inlineStr">
        <is>
          <t>Google Docs/Canva, AI for research &amp; outlines, own expertise, ISBN optional</t>
        </is>
      </c>
      <c r="P66" s="24" t="inlineStr">
        <is>
          <t>Own website, Amazon Kindle (KDP), Instamojo, Gumroad, Instagram/YouTube lead magnets</t>
        </is>
      </c>
    </row>
    <row r="67">
      <c r="A67" s="19" t="n">
        <v>66</v>
      </c>
      <c r="B67" s="19" t="inlineStr">
        <is>
          <t>eBooks &amp; Guides</t>
        </is>
      </c>
      <c r="C67" s="19" t="inlineStr">
        <is>
          <t>Kids Activity &amp; Colouring Books (Printable)</t>
        </is>
      </c>
      <c r="D67" s="19" t="inlineStr">
        <is>
          <t>Printable colouring, mazes, tracing and puzzles by age group.</t>
        </is>
      </c>
      <c r="E67" s="19" t="inlineStr">
        <is>
          <t>Parents, preschools, tuition teachers</t>
        </is>
      </c>
      <c r="F67" s="19" t="inlineStr">
        <is>
          <t>One-time</t>
        </is>
      </c>
      <c r="G67" s="28" t="n">
        <v>3000</v>
      </c>
      <c r="H67" s="28" t="n">
        <v>199</v>
      </c>
      <c r="I67" s="29">
        <f>H67*(1-Assumptions!$B$6)</f>
        <v/>
      </c>
      <c r="J67" s="30">
        <f>IF(I67&gt;0,CEILING(G67/I67,1),0)</f>
        <v/>
      </c>
      <c r="K67" s="30">
        <f>IF(H67&gt;0,CEILING(Assumptions!$B$4/H67,1),0)</f>
        <v/>
      </c>
      <c r="L67" s="30">
        <f>IF(H67&gt;0,CEILING(Assumptions!$B$5/H67,1),0)</f>
        <v/>
      </c>
      <c r="M67" s="29">
        <f>Assumptions!$B$4*(1-Assumptions!$B$6)-G67</f>
        <v/>
      </c>
      <c r="N67" s="29">
        <f>Assumptions!$B$5*(1-Assumptions!$B$6)-G67</f>
        <v/>
      </c>
      <c r="O67" s="19" t="inlineStr">
        <is>
          <t>Google Docs/Canva, AI for research &amp; outlines, own expertise, ISBN optional</t>
        </is>
      </c>
      <c r="P67" s="19" t="inlineStr">
        <is>
          <t>Own website, Amazon Kindle (KDP), Instamojo, Gumroad, Instagram/YouTube lead magnets</t>
        </is>
      </c>
    </row>
    <row r="68">
      <c r="A68" s="24" t="n">
        <v>67</v>
      </c>
      <c r="B68" s="24" t="inlineStr">
        <is>
          <t>eBooks &amp; Guides</t>
        </is>
      </c>
      <c r="C68" s="24" t="inlineStr">
        <is>
          <t>Productivity &amp; Time Management Workbook</t>
        </is>
      </c>
      <c r="D68" s="24" t="inlineStr">
        <is>
          <t>Guided exercises for goals, weekly planning and focus.</t>
        </is>
      </c>
      <c r="E68" s="24" t="inlineStr">
        <is>
          <t>Professionals, students</t>
        </is>
      </c>
      <c r="F68" s="24" t="inlineStr">
        <is>
          <t>One-time</t>
        </is>
      </c>
      <c r="G68" s="25" t="n">
        <v>3000</v>
      </c>
      <c r="H68" s="25" t="n">
        <v>299</v>
      </c>
      <c r="I68" s="26">
        <f>H68*(1-Assumptions!$B$6)</f>
        <v/>
      </c>
      <c r="J68" s="27">
        <f>IF(I68&gt;0,CEILING(G68/I68,1),0)</f>
        <v/>
      </c>
      <c r="K68" s="27">
        <f>IF(H68&gt;0,CEILING(Assumptions!$B$4/H68,1),0)</f>
        <v/>
      </c>
      <c r="L68" s="27">
        <f>IF(H68&gt;0,CEILING(Assumptions!$B$5/H68,1),0)</f>
        <v/>
      </c>
      <c r="M68" s="26">
        <f>Assumptions!$B$4*(1-Assumptions!$B$6)-G68</f>
        <v/>
      </c>
      <c r="N68" s="26">
        <f>Assumptions!$B$5*(1-Assumptions!$B$6)-G68</f>
        <v/>
      </c>
      <c r="O68" s="24" t="inlineStr">
        <is>
          <t>Google Docs/Canva, AI for research &amp; outlines, own expertise, ISBN optional</t>
        </is>
      </c>
      <c r="P68" s="24" t="inlineStr">
        <is>
          <t>Own website, Amazon Kindle (KDP), Instamojo, Gumroad, Instagram/YouTube lead magnets</t>
        </is>
      </c>
    </row>
    <row r="69">
      <c r="A69" s="19" t="n">
        <v>68</v>
      </c>
      <c r="B69" s="19" t="inlineStr">
        <is>
          <t>eBooks &amp; Guides</t>
        </is>
      </c>
      <c r="C69" s="19" t="inlineStr">
        <is>
          <t>Import-Export Business Starter Guide</t>
        </is>
      </c>
      <c r="D69" s="19" t="inlineStr">
        <is>
          <t>IEC, product selection, finding buyers, documentation and payments.</t>
        </is>
      </c>
      <c r="E69" s="19" t="inlineStr">
        <is>
          <t>Aspiring exporters, traders</t>
        </is>
      </c>
      <c r="F69" s="19" t="inlineStr">
        <is>
          <t>One-time</t>
        </is>
      </c>
      <c r="G69" s="28" t="n">
        <v>6000</v>
      </c>
      <c r="H69" s="28" t="n">
        <v>999</v>
      </c>
      <c r="I69" s="29">
        <f>H69*(1-Assumptions!$B$6)</f>
        <v/>
      </c>
      <c r="J69" s="30">
        <f>IF(I69&gt;0,CEILING(G69/I69,1),0)</f>
        <v/>
      </c>
      <c r="K69" s="30">
        <f>IF(H69&gt;0,CEILING(Assumptions!$B$4/H69,1),0)</f>
        <v/>
      </c>
      <c r="L69" s="30">
        <f>IF(H69&gt;0,CEILING(Assumptions!$B$5/H69,1),0)</f>
        <v/>
      </c>
      <c r="M69" s="29">
        <f>Assumptions!$B$4*(1-Assumptions!$B$6)-G69</f>
        <v/>
      </c>
      <c r="N69" s="29">
        <f>Assumptions!$B$5*(1-Assumptions!$B$6)-G69</f>
        <v/>
      </c>
      <c r="O69" s="19" t="inlineStr">
        <is>
          <t>Google Docs/Canva, AI for research &amp; outlines, own expertise, ISBN optional</t>
        </is>
      </c>
      <c r="P69" s="19" t="inlineStr">
        <is>
          <t>Own website, Amazon Kindle (KDP), Instamojo, Gumroad, Instagram/YouTube lead magnets</t>
        </is>
      </c>
    </row>
    <row r="70">
      <c r="A70" s="24" t="n">
        <v>69</v>
      </c>
      <c r="B70" s="24" t="inlineStr">
        <is>
          <t>eBooks &amp; Guides</t>
        </is>
      </c>
      <c r="C70" s="24" t="inlineStr">
        <is>
          <t>Property Buying Checklist &amp; Guide</t>
        </is>
      </c>
      <c r="D70" s="24" t="inlineStr">
        <is>
          <t>Legal checks, RERA, loan process, negotiation and registration steps.</t>
        </is>
      </c>
      <c r="E70" s="24" t="inlineStr">
        <is>
          <t>First-time home buyers</t>
        </is>
      </c>
      <c r="F70" s="24" t="inlineStr">
        <is>
          <t>One-time</t>
        </is>
      </c>
      <c r="G70" s="25" t="n">
        <v>4000</v>
      </c>
      <c r="H70" s="25" t="n">
        <v>399</v>
      </c>
      <c r="I70" s="26">
        <f>H70*(1-Assumptions!$B$6)</f>
        <v/>
      </c>
      <c r="J70" s="27">
        <f>IF(I70&gt;0,CEILING(G70/I70,1),0)</f>
        <v/>
      </c>
      <c r="K70" s="27">
        <f>IF(H70&gt;0,CEILING(Assumptions!$B$4/H70,1),0)</f>
        <v/>
      </c>
      <c r="L70" s="27">
        <f>IF(H70&gt;0,CEILING(Assumptions!$B$5/H70,1),0)</f>
        <v/>
      </c>
      <c r="M70" s="26">
        <f>Assumptions!$B$4*(1-Assumptions!$B$6)-G70</f>
        <v/>
      </c>
      <c r="N70" s="26">
        <f>Assumptions!$B$5*(1-Assumptions!$B$6)-G70</f>
        <v/>
      </c>
      <c r="O70" s="24" t="inlineStr">
        <is>
          <t>Google Docs/Canva, AI for research &amp; outlines, own expertise, ISBN optional</t>
        </is>
      </c>
      <c r="P70" s="24" t="inlineStr">
        <is>
          <t>Own website, Amazon Kindle (KDP), Instamojo, Gumroad, Instagram/YouTube lead magnets</t>
        </is>
      </c>
    </row>
    <row r="71">
      <c r="A71" s="19" t="n">
        <v>70</v>
      </c>
      <c r="B71" s="19" t="inlineStr">
        <is>
          <t>eBooks &amp; Guides</t>
        </is>
      </c>
      <c r="C71" s="19" t="inlineStr">
        <is>
          <t>Pregnancy &amp; Newborn Care Guide</t>
        </is>
      </c>
      <c r="D71" s="19" t="inlineStr">
        <is>
          <t>Trimester-wise guidance, hospital bag list and newborn care basics (doctor-reviewed).</t>
        </is>
      </c>
      <c r="E71" s="19" t="inlineStr">
        <is>
          <t>Expecting parents</t>
        </is>
      </c>
      <c r="F71" s="19" t="inlineStr">
        <is>
          <t>One-time</t>
        </is>
      </c>
      <c r="G71" s="28" t="n">
        <v>5000</v>
      </c>
      <c r="H71" s="28" t="n">
        <v>399</v>
      </c>
      <c r="I71" s="29">
        <f>H71*(1-Assumptions!$B$6)</f>
        <v/>
      </c>
      <c r="J71" s="30">
        <f>IF(I71&gt;0,CEILING(G71/I71,1),0)</f>
        <v/>
      </c>
      <c r="K71" s="30">
        <f>IF(H71&gt;0,CEILING(Assumptions!$B$4/H71,1),0)</f>
        <v/>
      </c>
      <c r="L71" s="30">
        <f>IF(H71&gt;0,CEILING(Assumptions!$B$5/H71,1),0)</f>
        <v/>
      </c>
      <c r="M71" s="29">
        <f>Assumptions!$B$4*(1-Assumptions!$B$6)-G71</f>
        <v/>
      </c>
      <c r="N71" s="29">
        <f>Assumptions!$B$5*(1-Assumptions!$B$6)-G71</f>
        <v/>
      </c>
      <c r="O71" s="19" t="inlineStr">
        <is>
          <t>Google Docs/Canva, AI for research &amp; outlines, own expertise, ISBN optional</t>
        </is>
      </c>
      <c r="P71" s="19" t="inlineStr">
        <is>
          <t>Own website, Amazon Kindle (KDP), Instamojo, Gumroad, Instagram/YouTube lead magnets</t>
        </is>
      </c>
    </row>
    <row r="72">
      <c r="A72" s="24" t="n">
        <v>71</v>
      </c>
      <c r="B72" s="24" t="inlineStr">
        <is>
          <t>eBooks &amp; Guides</t>
        </is>
      </c>
      <c r="C72" s="24" t="inlineStr">
        <is>
          <t>Content Creator Monetisation Guide</t>
        </is>
      </c>
      <c r="D72" s="24" t="inlineStr">
        <is>
          <t>Brand deals, rate cards, affiliate, digital products and memberships.</t>
        </is>
      </c>
      <c r="E72" s="24" t="inlineStr">
        <is>
          <t>Creators with 1k-100k followers</t>
        </is>
      </c>
      <c r="F72" s="24" t="inlineStr">
        <is>
          <t>One-time</t>
        </is>
      </c>
      <c r="G72" s="25" t="n">
        <v>4000</v>
      </c>
      <c r="H72" s="25" t="n">
        <v>399</v>
      </c>
      <c r="I72" s="26">
        <f>H72*(1-Assumptions!$B$6)</f>
        <v/>
      </c>
      <c r="J72" s="27">
        <f>IF(I72&gt;0,CEILING(G72/I72,1),0)</f>
        <v/>
      </c>
      <c r="K72" s="27">
        <f>IF(H72&gt;0,CEILING(Assumptions!$B$4/H72,1),0)</f>
        <v/>
      </c>
      <c r="L72" s="27">
        <f>IF(H72&gt;0,CEILING(Assumptions!$B$5/H72,1),0)</f>
        <v/>
      </c>
      <c r="M72" s="26">
        <f>Assumptions!$B$4*(1-Assumptions!$B$6)-G72</f>
        <v/>
      </c>
      <c r="N72" s="26">
        <f>Assumptions!$B$5*(1-Assumptions!$B$6)-G72</f>
        <v/>
      </c>
      <c r="O72" s="24" t="inlineStr">
        <is>
          <t>Google Docs/Canva, AI for research &amp; outlines, own expertise, ISBN optional</t>
        </is>
      </c>
      <c r="P72" s="24" t="inlineStr">
        <is>
          <t>Own website, Amazon Kindle (KDP), Instamojo, Gumroad, Instagram/YouTube lead magnets</t>
        </is>
      </c>
    </row>
    <row r="73">
      <c r="A73" s="19" t="n">
        <v>72</v>
      </c>
      <c r="B73" s="19" t="inlineStr">
        <is>
          <t>eBooks &amp; Guides</t>
        </is>
      </c>
      <c r="C73" s="19" t="inlineStr">
        <is>
          <t>Retirement Planning Guide for 40+</t>
        </is>
      </c>
      <c r="D73" s="19" t="inlineStr">
        <is>
          <t>Corpus calculation, NPS/EPF/PPF, annuities and health cover planning.</t>
        </is>
      </c>
      <c r="E73" s="19" t="inlineStr">
        <is>
          <t>Professionals aged 40-55</t>
        </is>
      </c>
      <c r="F73" s="19" t="inlineStr">
        <is>
          <t>One-time</t>
        </is>
      </c>
      <c r="G73" s="28" t="n">
        <v>4000</v>
      </c>
      <c r="H73" s="28" t="n">
        <v>399</v>
      </c>
      <c r="I73" s="29">
        <f>H73*(1-Assumptions!$B$6)</f>
        <v/>
      </c>
      <c r="J73" s="30">
        <f>IF(I73&gt;0,CEILING(G73/I73,1),0)</f>
        <v/>
      </c>
      <c r="K73" s="30">
        <f>IF(H73&gt;0,CEILING(Assumptions!$B$4/H73,1),0)</f>
        <v/>
      </c>
      <c r="L73" s="30">
        <f>IF(H73&gt;0,CEILING(Assumptions!$B$5/H73,1),0)</f>
        <v/>
      </c>
      <c r="M73" s="29">
        <f>Assumptions!$B$4*(1-Assumptions!$B$6)-G73</f>
        <v/>
      </c>
      <c r="N73" s="29">
        <f>Assumptions!$B$5*(1-Assumptions!$B$6)-G73</f>
        <v/>
      </c>
      <c r="O73" s="19" t="inlineStr">
        <is>
          <t>Google Docs/Canva, AI for research &amp; outlines, own expertise, ISBN optional</t>
        </is>
      </c>
      <c r="P73" s="19" t="inlineStr">
        <is>
          <t>Own website, Amazon Kindle (KDP), Instamojo, Gumroad, Instagram/YouTube lead magnets</t>
        </is>
      </c>
    </row>
    <row r="74">
      <c r="A74" s="24" t="n">
        <v>73</v>
      </c>
      <c r="B74" s="24" t="inlineStr">
        <is>
          <t>Software, SaaS Micro-tools &amp; Apps</t>
        </is>
      </c>
      <c r="C74" s="24" t="inlineStr">
        <is>
          <t>WhatsApp Broadcast &amp; Follow-up Tool (Official API)</t>
        </is>
      </c>
      <c r="D74" s="24" t="inlineStr">
        <is>
          <t>Send offers, reminders and follow-ups through the official WhatsApp Business API with templates and analytics.</t>
        </is>
      </c>
      <c r="E74" s="24" t="inlineStr">
        <is>
          <t>Retailers, coaching centres, clinics</t>
        </is>
      </c>
      <c r="F74" s="24" t="inlineStr">
        <is>
          <t>Monthly subscription</t>
        </is>
      </c>
      <c r="G74" s="25" t="n">
        <v>60000</v>
      </c>
      <c r="H74" s="25" t="n">
        <v>999</v>
      </c>
      <c r="I74" s="26">
        <f>H74*(1-Assumptions!$B$6)</f>
        <v/>
      </c>
      <c r="J74" s="27">
        <f>IF(I74&gt;0,CEILING(G74/I74,1),0)</f>
        <v/>
      </c>
      <c r="K74" s="27">
        <f>IF(H74&gt;0,CEILING(Assumptions!$B$4/H74,1),0)</f>
        <v/>
      </c>
      <c r="L74" s="27">
        <f>IF(H74&gt;0,CEILING(Assumptions!$B$5/H74,1),0)</f>
        <v/>
      </c>
      <c r="M74" s="26">
        <f>Assumptions!$B$4*(1-Assumptions!$B$6)-G74</f>
        <v/>
      </c>
      <c r="N74" s="26">
        <f>Assumptions!$B$5*(1-Assumptions!$B$6)-G74</f>
        <v/>
      </c>
      <c r="O74" s="24" t="inlineStr">
        <is>
          <t>No-code (Bubble, Softr, Glide, FlutterFlow) or freelance developer; AI coding assistants; hosting (AWS/Vercel)</t>
        </is>
      </c>
      <c r="P74" s="24" t="inlineStr">
        <is>
          <t>Own website + free trial, Shopify/WordPress/Chrome stores, AppSumo, direct B2B sales, CodeCanyon</t>
        </is>
      </c>
    </row>
    <row r="75">
      <c r="A75" s="19" t="n">
        <v>74</v>
      </c>
      <c r="B75" s="19" t="inlineStr">
        <is>
          <t>Software, SaaS Micro-tools &amp; Apps</t>
        </is>
      </c>
      <c r="C75" s="19" t="inlineStr">
        <is>
          <t>Appointment Booking App for Clinics / Salons</t>
        </is>
      </c>
      <c r="D75" s="19" t="inlineStr">
        <is>
          <t>Online booking, reminders, payments and staff calendars.</t>
        </is>
      </c>
      <c r="E75" s="19" t="inlineStr">
        <is>
          <t>Clinics, salons, spas, consultants</t>
        </is>
      </c>
      <c r="F75" s="19" t="inlineStr">
        <is>
          <t>Monthly subscription</t>
        </is>
      </c>
      <c r="G75" s="28" t="n">
        <v>50000</v>
      </c>
      <c r="H75" s="28" t="n">
        <v>799</v>
      </c>
      <c r="I75" s="29">
        <f>H75*(1-Assumptions!$B$6)</f>
        <v/>
      </c>
      <c r="J75" s="30">
        <f>IF(I75&gt;0,CEILING(G75/I75,1),0)</f>
        <v/>
      </c>
      <c r="K75" s="30">
        <f>IF(H75&gt;0,CEILING(Assumptions!$B$4/H75,1),0)</f>
        <v/>
      </c>
      <c r="L75" s="30">
        <f>IF(H75&gt;0,CEILING(Assumptions!$B$5/H75,1),0)</f>
        <v/>
      </c>
      <c r="M75" s="29">
        <f>Assumptions!$B$4*(1-Assumptions!$B$6)-G75</f>
        <v/>
      </c>
      <c r="N75" s="29">
        <f>Assumptions!$B$5*(1-Assumptions!$B$6)-G75</f>
        <v/>
      </c>
      <c r="O75" s="19" t="inlineStr">
        <is>
          <t>No-code (Bubble, Softr, Glide, FlutterFlow) or freelance developer; AI coding assistants; hosting (AWS/Vercel)</t>
        </is>
      </c>
      <c r="P75" s="19" t="inlineStr">
        <is>
          <t>Own website + free trial, Shopify/WordPress/Chrome stores, AppSumo, direct B2B sales, CodeCanyon</t>
        </is>
      </c>
    </row>
    <row r="76">
      <c r="A76" s="24" t="n">
        <v>75</v>
      </c>
      <c r="B76" s="24" t="inlineStr">
        <is>
          <t>Software, SaaS Micro-tools &amp; Apps</t>
        </is>
      </c>
      <c r="C76" s="24" t="inlineStr">
        <is>
          <t>GST Invoice Generator Web App</t>
        </is>
      </c>
      <c r="D76" s="24" t="inlineStr">
        <is>
          <t>Create GST invoices, e-way bill data and payment reminders from the browser.</t>
        </is>
      </c>
      <c r="E76" s="24" t="inlineStr">
        <is>
          <t>Micro businesses, freelancers</t>
        </is>
      </c>
      <c r="F76" s="24" t="inlineStr">
        <is>
          <t>Monthly subscription</t>
        </is>
      </c>
      <c r="G76" s="25" t="n">
        <v>40000</v>
      </c>
      <c r="H76" s="25" t="n">
        <v>499</v>
      </c>
      <c r="I76" s="26">
        <f>H76*(1-Assumptions!$B$6)</f>
        <v/>
      </c>
      <c r="J76" s="27">
        <f>IF(I76&gt;0,CEILING(G76/I76,1),0)</f>
        <v/>
      </c>
      <c r="K76" s="27">
        <f>IF(H76&gt;0,CEILING(Assumptions!$B$4/H76,1),0)</f>
        <v/>
      </c>
      <c r="L76" s="27">
        <f>IF(H76&gt;0,CEILING(Assumptions!$B$5/H76,1),0)</f>
        <v/>
      </c>
      <c r="M76" s="26">
        <f>Assumptions!$B$4*(1-Assumptions!$B$6)-G76</f>
        <v/>
      </c>
      <c r="N76" s="26">
        <f>Assumptions!$B$5*(1-Assumptions!$B$6)-G76</f>
        <v/>
      </c>
      <c r="O76" s="24" t="inlineStr">
        <is>
          <t>No-code (Bubble, Softr, Glide, FlutterFlow) or freelance developer; AI coding assistants; hosting (AWS/Vercel)</t>
        </is>
      </c>
      <c r="P76" s="24" t="inlineStr">
        <is>
          <t>Own website + free trial, Shopify/WordPress/Chrome stores, AppSumo, direct B2B sales, CodeCanyon</t>
        </is>
      </c>
    </row>
    <row r="77">
      <c r="A77" s="19" t="n">
        <v>76</v>
      </c>
      <c r="B77" s="19" t="inlineStr">
        <is>
          <t>Software, SaaS Micro-tools &amp; Apps</t>
        </is>
      </c>
      <c r="C77" s="19" t="inlineStr">
        <is>
          <t>Chrome Extension: LinkedIn Productivity Tool</t>
        </is>
      </c>
      <c r="D77" s="19" t="inlineStr">
        <is>
          <t>Post formatter, saved replies and profile notes inside LinkedIn.</t>
        </is>
      </c>
      <c r="E77" s="19" t="inlineStr">
        <is>
          <t>Recruiters, sales reps, creators</t>
        </is>
      </c>
      <c r="F77" s="19" t="inlineStr">
        <is>
          <t>One-time</t>
        </is>
      </c>
      <c r="G77" s="28" t="n">
        <v>20000</v>
      </c>
      <c r="H77" s="28" t="n">
        <v>1499</v>
      </c>
      <c r="I77" s="29">
        <f>H77*(1-Assumptions!$B$6)</f>
        <v/>
      </c>
      <c r="J77" s="30">
        <f>IF(I77&gt;0,CEILING(G77/I77,1),0)</f>
        <v/>
      </c>
      <c r="K77" s="30">
        <f>IF(H77&gt;0,CEILING(Assumptions!$B$4/H77,1),0)</f>
        <v/>
      </c>
      <c r="L77" s="30">
        <f>IF(H77&gt;0,CEILING(Assumptions!$B$5/H77,1),0)</f>
        <v/>
      </c>
      <c r="M77" s="29">
        <f>Assumptions!$B$4*(1-Assumptions!$B$6)-G77</f>
        <v/>
      </c>
      <c r="N77" s="29">
        <f>Assumptions!$B$5*(1-Assumptions!$B$6)-G77</f>
        <v/>
      </c>
      <c r="O77" s="19" t="inlineStr">
        <is>
          <t>No-code (Bubble, Softr, Glide, FlutterFlow) or freelance developer; AI coding assistants; hosting (AWS/Vercel)</t>
        </is>
      </c>
      <c r="P77" s="19" t="inlineStr">
        <is>
          <t>Own website + free trial, Shopify/WordPress/Chrome stores, AppSumo, direct B2B sales, CodeCanyon</t>
        </is>
      </c>
    </row>
    <row r="78">
      <c r="A78" s="24" t="n">
        <v>77</v>
      </c>
      <c r="B78" s="24" t="inlineStr">
        <is>
          <t>Software, SaaS Micro-tools &amp; Apps</t>
        </is>
      </c>
      <c r="C78" s="24" t="inlineStr">
        <is>
          <t>WordPress Plugin: WhatsApp Chat + Lead Capture</t>
        </is>
      </c>
      <c r="D78" s="24" t="inlineStr">
        <is>
          <t>Adds a WhatsApp chat button, lead form and CRM export to any WordPress site.</t>
        </is>
      </c>
      <c r="E78" s="24" t="inlineStr">
        <is>
          <t>Website owners, agencies</t>
        </is>
      </c>
      <c r="F78" s="24" t="inlineStr">
        <is>
          <t>Annual licence</t>
        </is>
      </c>
      <c r="G78" s="25" t="n">
        <v>25000</v>
      </c>
      <c r="H78" s="25" t="n">
        <v>1999</v>
      </c>
      <c r="I78" s="26">
        <f>H78*(1-Assumptions!$B$6)</f>
        <v/>
      </c>
      <c r="J78" s="27">
        <f>IF(I78&gt;0,CEILING(G78/I78,1),0)</f>
        <v/>
      </c>
      <c r="K78" s="27">
        <f>IF(H78&gt;0,CEILING(Assumptions!$B$4/H78,1),0)</f>
        <v/>
      </c>
      <c r="L78" s="27">
        <f>IF(H78&gt;0,CEILING(Assumptions!$B$5/H78,1),0)</f>
        <v/>
      </c>
      <c r="M78" s="26">
        <f>Assumptions!$B$4*(1-Assumptions!$B$6)-G78</f>
        <v/>
      </c>
      <c r="N78" s="26">
        <f>Assumptions!$B$5*(1-Assumptions!$B$6)-G78</f>
        <v/>
      </c>
      <c r="O78" s="24" t="inlineStr">
        <is>
          <t>No-code (Bubble, Softr, Glide, FlutterFlow) or freelance developer; AI coding assistants; hosting (AWS/Vercel)</t>
        </is>
      </c>
      <c r="P78" s="24" t="inlineStr">
        <is>
          <t>Own website + free trial, Shopify/WordPress/Chrome stores, AppSumo, direct B2B sales, CodeCanyon</t>
        </is>
      </c>
    </row>
    <row r="79">
      <c r="A79" s="19" t="n">
        <v>78</v>
      </c>
      <c r="B79" s="19" t="inlineStr">
        <is>
          <t>Software, SaaS Micro-tools &amp; Apps</t>
        </is>
      </c>
      <c r="C79" s="19" t="inlineStr">
        <is>
          <t>Shopify App: COD Order Verification</t>
        </is>
      </c>
      <c r="D79" s="19" t="inlineStr">
        <is>
          <t>Auto-verifies COD orders via WhatsApp/IVR to cut RTO losses.</t>
        </is>
      </c>
      <c r="E79" s="19" t="inlineStr">
        <is>
          <t>D2C brands on Shopify</t>
        </is>
      </c>
      <c r="F79" s="19" t="inlineStr">
        <is>
          <t>Monthly subscription</t>
        </is>
      </c>
      <c r="G79" s="28" t="n">
        <v>60000</v>
      </c>
      <c r="H79" s="28" t="n">
        <v>1499</v>
      </c>
      <c r="I79" s="29">
        <f>H79*(1-Assumptions!$B$6)</f>
        <v/>
      </c>
      <c r="J79" s="30">
        <f>IF(I79&gt;0,CEILING(G79/I79,1),0)</f>
        <v/>
      </c>
      <c r="K79" s="30">
        <f>IF(H79&gt;0,CEILING(Assumptions!$B$4/H79,1),0)</f>
        <v/>
      </c>
      <c r="L79" s="30">
        <f>IF(H79&gt;0,CEILING(Assumptions!$B$5/H79,1),0)</f>
        <v/>
      </c>
      <c r="M79" s="29">
        <f>Assumptions!$B$4*(1-Assumptions!$B$6)-G79</f>
        <v/>
      </c>
      <c r="N79" s="29">
        <f>Assumptions!$B$5*(1-Assumptions!$B$6)-G79</f>
        <v/>
      </c>
      <c r="O79" s="19" t="inlineStr">
        <is>
          <t>No-code (Bubble, Softr, Glide, FlutterFlow) or freelance developer; AI coding assistants; hosting (AWS/Vercel)</t>
        </is>
      </c>
      <c r="P79" s="19" t="inlineStr">
        <is>
          <t>Own website + free trial, Shopify/WordPress/Chrome stores, AppSumo, direct B2B sales, CodeCanyon</t>
        </is>
      </c>
    </row>
    <row r="80">
      <c r="A80" s="24" t="n">
        <v>79</v>
      </c>
      <c r="B80" s="24" t="inlineStr">
        <is>
          <t>Software, SaaS Micro-tools &amp; Apps</t>
        </is>
      </c>
      <c r="C80" s="24" t="inlineStr">
        <is>
          <t>QR Menu &amp; Table Ordering System</t>
        </is>
      </c>
      <c r="D80" s="24" t="inlineStr">
        <is>
          <t>Contactless menu, table ordering and a kitchen display screen.</t>
        </is>
      </c>
      <c r="E80" s="24" t="inlineStr">
        <is>
          <t>Restaurants, cafés</t>
        </is>
      </c>
      <c r="F80" s="24" t="inlineStr">
        <is>
          <t>Monthly subscription</t>
        </is>
      </c>
      <c r="G80" s="25" t="n">
        <v>40000</v>
      </c>
      <c r="H80" s="25" t="n">
        <v>699</v>
      </c>
      <c r="I80" s="26">
        <f>H80*(1-Assumptions!$B$6)</f>
        <v/>
      </c>
      <c r="J80" s="27">
        <f>IF(I80&gt;0,CEILING(G80/I80,1),0)</f>
        <v/>
      </c>
      <c r="K80" s="27">
        <f>IF(H80&gt;0,CEILING(Assumptions!$B$4/H80,1),0)</f>
        <v/>
      </c>
      <c r="L80" s="27">
        <f>IF(H80&gt;0,CEILING(Assumptions!$B$5/H80,1),0)</f>
        <v/>
      </c>
      <c r="M80" s="26">
        <f>Assumptions!$B$4*(1-Assumptions!$B$6)-G80</f>
        <v/>
      </c>
      <c r="N80" s="26">
        <f>Assumptions!$B$5*(1-Assumptions!$B$6)-G80</f>
        <v/>
      </c>
      <c r="O80" s="24" t="inlineStr">
        <is>
          <t>No-code (Bubble, Softr, Glide, FlutterFlow) or freelance developer; AI coding assistants; hosting (AWS/Vercel)</t>
        </is>
      </c>
      <c r="P80" s="24" t="inlineStr">
        <is>
          <t>Own website + free trial, Shopify/WordPress/Chrome stores, AppSumo, direct B2B sales, CodeCanyon</t>
        </is>
      </c>
    </row>
    <row r="81">
      <c r="A81" s="19" t="n">
        <v>80</v>
      </c>
      <c r="B81" s="19" t="inlineStr">
        <is>
          <t>Software, SaaS Micro-tools &amp; Apps</t>
        </is>
      </c>
      <c r="C81" s="19" t="inlineStr">
        <is>
          <t>Coaching / School Fee Management Software</t>
        </is>
      </c>
      <c r="D81" s="19" t="inlineStr">
        <is>
          <t>Fee collection, reminders, receipts and dues reports.</t>
        </is>
      </c>
      <c r="E81" s="19" t="inlineStr">
        <is>
          <t>Coaching institutes, small schools</t>
        </is>
      </c>
      <c r="F81" s="19" t="inlineStr">
        <is>
          <t>Monthly subscription</t>
        </is>
      </c>
      <c r="G81" s="28" t="n">
        <v>60000</v>
      </c>
      <c r="H81" s="28" t="n">
        <v>1499</v>
      </c>
      <c r="I81" s="29">
        <f>H81*(1-Assumptions!$B$6)</f>
        <v/>
      </c>
      <c r="J81" s="30">
        <f>IF(I81&gt;0,CEILING(G81/I81,1),0)</f>
        <v/>
      </c>
      <c r="K81" s="30">
        <f>IF(H81&gt;0,CEILING(Assumptions!$B$4/H81,1),0)</f>
        <v/>
      </c>
      <c r="L81" s="30">
        <f>IF(H81&gt;0,CEILING(Assumptions!$B$5/H81,1),0)</f>
        <v/>
      </c>
      <c r="M81" s="29">
        <f>Assumptions!$B$4*(1-Assumptions!$B$6)-G81</f>
        <v/>
      </c>
      <c r="N81" s="29">
        <f>Assumptions!$B$5*(1-Assumptions!$B$6)-G81</f>
        <v/>
      </c>
      <c r="O81" s="19" t="inlineStr">
        <is>
          <t>No-code (Bubble, Softr, Glide, FlutterFlow) or freelance developer; AI coding assistants; hosting (AWS/Vercel)</t>
        </is>
      </c>
      <c r="P81" s="19" t="inlineStr">
        <is>
          <t>Own website + free trial, Shopify/WordPress/Chrome stores, AppSumo, direct B2B sales, CodeCanyon</t>
        </is>
      </c>
    </row>
    <row r="82">
      <c r="A82" s="24" t="n">
        <v>81</v>
      </c>
      <c r="B82" s="24" t="inlineStr">
        <is>
          <t>Software, SaaS Micro-tools &amp; Apps</t>
        </is>
      </c>
      <c r="C82" s="24" t="inlineStr">
        <is>
          <t>Gym Membership Management App</t>
        </is>
      </c>
      <c r="D82" s="24" t="inlineStr">
        <is>
          <t>Member plans, renewals, attendance and trainer scheduling.</t>
        </is>
      </c>
      <c r="E82" s="24" t="inlineStr">
        <is>
          <t>Gyms, yoga studios</t>
        </is>
      </c>
      <c r="F82" s="24" t="inlineStr">
        <is>
          <t>Monthly subscription</t>
        </is>
      </c>
      <c r="G82" s="25" t="n">
        <v>50000</v>
      </c>
      <c r="H82" s="25" t="n">
        <v>999</v>
      </c>
      <c r="I82" s="26">
        <f>H82*(1-Assumptions!$B$6)</f>
        <v/>
      </c>
      <c r="J82" s="27">
        <f>IF(I82&gt;0,CEILING(G82/I82,1),0)</f>
        <v/>
      </c>
      <c r="K82" s="27">
        <f>IF(H82&gt;0,CEILING(Assumptions!$B$4/H82,1),0)</f>
        <v/>
      </c>
      <c r="L82" s="27">
        <f>IF(H82&gt;0,CEILING(Assumptions!$B$5/H82,1),0)</f>
        <v/>
      </c>
      <c r="M82" s="26">
        <f>Assumptions!$B$4*(1-Assumptions!$B$6)-G82</f>
        <v/>
      </c>
      <c r="N82" s="26">
        <f>Assumptions!$B$5*(1-Assumptions!$B$6)-G82</f>
        <v/>
      </c>
      <c r="O82" s="24" t="inlineStr">
        <is>
          <t>No-code (Bubble, Softr, Glide, FlutterFlow) or freelance developer; AI coding assistants; hosting (AWS/Vercel)</t>
        </is>
      </c>
      <c r="P82" s="24" t="inlineStr">
        <is>
          <t>Own website + free trial, Shopify/WordPress/Chrome stores, AppSumo, direct B2B sales, CodeCanyon</t>
        </is>
      </c>
    </row>
    <row r="83">
      <c r="A83" s="19" t="n">
        <v>82</v>
      </c>
      <c r="B83" s="19" t="inlineStr">
        <is>
          <t>Software, SaaS Micro-tools &amp; Apps</t>
        </is>
      </c>
      <c r="C83" s="19" t="inlineStr">
        <is>
          <t>Link-in-bio &amp; Mini Store Builder</t>
        </is>
      </c>
      <c r="D83" s="19" t="inlineStr">
        <is>
          <t>Creator page with links, products and UPI payments.</t>
        </is>
      </c>
      <c r="E83" s="19" t="inlineStr">
        <is>
          <t>Creators, home businesses</t>
        </is>
      </c>
      <c r="F83" s="19" t="inlineStr">
        <is>
          <t>Monthly subscription</t>
        </is>
      </c>
      <c r="G83" s="28" t="n">
        <v>30000</v>
      </c>
      <c r="H83" s="28" t="n">
        <v>199</v>
      </c>
      <c r="I83" s="29">
        <f>H83*(1-Assumptions!$B$6)</f>
        <v/>
      </c>
      <c r="J83" s="30">
        <f>IF(I83&gt;0,CEILING(G83/I83,1),0)</f>
        <v/>
      </c>
      <c r="K83" s="30">
        <f>IF(H83&gt;0,CEILING(Assumptions!$B$4/H83,1),0)</f>
        <v/>
      </c>
      <c r="L83" s="30">
        <f>IF(H83&gt;0,CEILING(Assumptions!$B$5/H83,1),0)</f>
        <v/>
      </c>
      <c r="M83" s="29">
        <f>Assumptions!$B$4*(1-Assumptions!$B$6)-G83</f>
        <v/>
      </c>
      <c r="N83" s="29">
        <f>Assumptions!$B$5*(1-Assumptions!$B$6)-G83</f>
        <v/>
      </c>
      <c r="O83" s="19" t="inlineStr">
        <is>
          <t>No-code (Bubble, Softr, Glide, FlutterFlow) or freelance developer; AI coding assistants; hosting (AWS/Vercel)</t>
        </is>
      </c>
      <c r="P83" s="19" t="inlineStr">
        <is>
          <t>Own website + free trial, Shopify/WordPress/Chrome stores, AppSumo, direct B2B sales, CodeCanyon</t>
        </is>
      </c>
    </row>
    <row r="84">
      <c r="A84" s="24" t="n">
        <v>83</v>
      </c>
      <c r="B84" s="24" t="inlineStr">
        <is>
          <t>Software, SaaS Micro-tools &amp; Apps</t>
        </is>
      </c>
      <c r="C84" s="24" t="inlineStr">
        <is>
          <t>Excel VBA Automation Add-in</t>
        </is>
      </c>
      <c r="D84" s="24" t="inlineStr">
        <is>
          <t>One-click report consolidation, data cleaning and email-merge macros.</t>
        </is>
      </c>
      <c r="E84" s="24" t="inlineStr">
        <is>
          <t>Accountants, MIS executives</t>
        </is>
      </c>
      <c r="F84" s="24" t="inlineStr">
        <is>
          <t>One-time</t>
        </is>
      </c>
      <c r="G84" s="25" t="n">
        <v>15000</v>
      </c>
      <c r="H84" s="25" t="n">
        <v>2999</v>
      </c>
      <c r="I84" s="26">
        <f>H84*(1-Assumptions!$B$6)</f>
        <v/>
      </c>
      <c r="J84" s="27">
        <f>IF(I84&gt;0,CEILING(G84/I84,1),0)</f>
        <v/>
      </c>
      <c r="K84" s="27">
        <f>IF(H84&gt;0,CEILING(Assumptions!$B$4/H84,1),0)</f>
        <v/>
      </c>
      <c r="L84" s="27">
        <f>IF(H84&gt;0,CEILING(Assumptions!$B$5/H84,1),0)</f>
        <v/>
      </c>
      <c r="M84" s="26">
        <f>Assumptions!$B$4*(1-Assumptions!$B$6)-G84</f>
        <v/>
      </c>
      <c r="N84" s="26">
        <f>Assumptions!$B$5*(1-Assumptions!$B$6)-G84</f>
        <v/>
      </c>
      <c r="O84" s="24" t="inlineStr">
        <is>
          <t>No-code (Bubble, Softr, Glide, FlutterFlow) or freelance developer; AI coding assistants; hosting (AWS/Vercel)</t>
        </is>
      </c>
      <c r="P84" s="24" t="inlineStr">
        <is>
          <t>Own website + free trial, Shopify/WordPress/Chrome stores, AppSumo, direct B2B sales, CodeCanyon</t>
        </is>
      </c>
    </row>
    <row r="85">
      <c r="A85" s="19" t="n">
        <v>84</v>
      </c>
      <c r="B85" s="19" t="inlineStr">
        <is>
          <t>Software, SaaS Micro-tools &amp; Apps</t>
        </is>
      </c>
      <c r="C85" s="19" t="inlineStr">
        <is>
          <t>Google Sheets Add-on: Mail Merge &amp; Reminders</t>
        </is>
      </c>
      <c r="D85" s="19" t="inlineStr">
        <is>
          <t>Send personalised emails and reminders straight from a sheet.</t>
        </is>
      </c>
      <c r="E85" s="19" t="inlineStr">
        <is>
          <t>HR, sales, admin teams</t>
        </is>
      </c>
      <c r="F85" s="19" t="inlineStr">
        <is>
          <t>Annual licence</t>
        </is>
      </c>
      <c r="G85" s="28" t="n">
        <v>25000</v>
      </c>
      <c r="H85" s="28" t="n">
        <v>1499</v>
      </c>
      <c r="I85" s="29">
        <f>H85*(1-Assumptions!$B$6)</f>
        <v/>
      </c>
      <c r="J85" s="30">
        <f>IF(I85&gt;0,CEILING(G85/I85,1),0)</f>
        <v/>
      </c>
      <c r="K85" s="30">
        <f>IF(H85&gt;0,CEILING(Assumptions!$B$4/H85,1),0)</f>
        <v/>
      </c>
      <c r="L85" s="30">
        <f>IF(H85&gt;0,CEILING(Assumptions!$B$5/H85,1),0)</f>
        <v/>
      </c>
      <c r="M85" s="29">
        <f>Assumptions!$B$4*(1-Assumptions!$B$6)-G85</f>
        <v/>
      </c>
      <c r="N85" s="29">
        <f>Assumptions!$B$5*(1-Assumptions!$B$6)-G85</f>
        <v/>
      </c>
      <c r="O85" s="19" t="inlineStr">
        <is>
          <t>No-code (Bubble, Softr, Glide, FlutterFlow) or freelance developer; AI coding assistants; hosting (AWS/Vercel)</t>
        </is>
      </c>
      <c r="P85" s="19" t="inlineStr">
        <is>
          <t>Own website + free trial, Shopify/WordPress/Chrome stores, AppSumo, direct B2B sales, CodeCanyon</t>
        </is>
      </c>
    </row>
    <row r="86">
      <c r="A86" s="24" t="n">
        <v>85</v>
      </c>
      <c r="B86" s="24" t="inlineStr">
        <is>
          <t>Software, SaaS Micro-tools &amp; Apps</t>
        </is>
      </c>
      <c r="C86" s="24" t="inlineStr">
        <is>
          <t>Website &amp; Landing Page Templates (HTML/Next.js)</t>
        </is>
      </c>
      <c r="D86" s="24" t="inlineStr">
        <is>
          <t>Ready-to-deploy responsive templates for businesses and SaaS.</t>
        </is>
      </c>
      <c r="E86" s="24" t="inlineStr">
        <is>
          <t>Developers, agencies, startups</t>
        </is>
      </c>
      <c r="F86" s="24" t="inlineStr">
        <is>
          <t>One-time</t>
        </is>
      </c>
      <c r="G86" s="25" t="n">
        <v>15000</v>
      </c>
      <c r="H86" s="25" t="n">
        <v>1999</v>
      </c>
      <c r="I86" s="26">
        <f>H86*(1-Assumptions!$B$6)</f>
        <v/>
      </c>
      <c r="J86" s="27">
        <f>IF(I86&gt;0,CEILING(G86/I86,1),0)</f>
        <v/>
      </c>
      <c r="K86" s="27">
        <f>IF(H86&gt;0,CEILING(Assumptions!$B$4/H86,1),0)</f>
        <v/>
      </c>
      <c r="L86" s="27">
        <f>IF(H86&gt;0,CEILING(Assumptions!$B$5/H86,1),0)</f>
        <v/>
      </c>
      <c r="M86" s="26">
        <f>Assumptions!$B$4*(1-Assumptions!$B$6)-G86</f>
        <v/>
      </c>
      <c r="N86" s="26">
        <f>Assumptions!$B$5*(1-Assumptions!$B$6)-G86</f>
        <v/>
      </c>
      <c r="O86" s="24" t="inlineStr">
        <is>
          <t>No-code (Bubble, Softr, Glide, FlutterFlow) or freelance developer; AI coding assistants; hosting (AWS/Vercel)</t>
        </is>
      </c>
      <c r="P86" s="24" t="inlineStr">
        <is>
          <t>Own website + free trial, Shopify/WordPress/Chrome stores, AppSumo, direct B2B sales, CodeCanyon</t>
        </is>
      </c>
    </row>
    <row r="87">
      <c r="A87" s="19" t="n">
        <v>86</v>
      </c>
      <c r="B87" s="19" t="inlineStr">
        <is>
          <t>Software, SaaS Micro-tools &amp; Apps</t>
        </is>
      </c>
      <c r="C87" s="19" t="inlineStr">
        <is>
          <t>Flutter E-commerce App Source Code</t>
        </is>
      </c>
      <c r="D87" s="19" t="inlineStr">
        <is>
          <t>Full app template with cart, payments and admin panel.</t>
        </is>
      </c>
      <c r="E87" s="19" t="inlineStr">
        <is>
          <t>Developers, agencies, startups</t>
        </is>
      </c>
      <c r="F87" s="19" t="inlineStr">
        <is>
          <t>One-time</t>
        </is>
      </c>
      <c r="G87" s="28" t="n">
        <v>30000</v>
      </c>
      <c r="H87" s="28" t="n">
        <v>4999</v>
      </c>
      <c r="I87" s="29">
        <f>H87*(1-Assumptions!$B$6)</f>
        <v/>
      </c>
      <c r="J87" s="30">
        <f>IF(I87&gt;0,CEILING(G87/I87,1),0)</f>
        <v/>
      </c>
      <c r="K87" s="30">
        <f>IF(H87&gt;0,CEILING(Assumptions!$B$4/H87,1),0)</f>
        <v/>
      </c>
      <c r="L87" s="30">
        <f>IF(H87&gt;0,CEILING(Assumptions!$B$5/H87,1),0)</f>
        <v/>
      </c>
      <c r="M87" s="29">
        <f>Assumptions!$B$4*(1-Assumptions!$B$6)-G87</f>
        <v/>
      </c>
      <c r="N87" s="29">
        <f>Assumptions!$B$5*(1-Assumptions!$B$6)-G87</f>
        <v/>
      </c>
      <c r="O87" s="19" t="inlineStr">
        <is>
          <t>No-code (Bubble, Softr, Glide, FlutterFlow) or freelance developer; AI coding assistants; hosting (AWS/Vercel)</t>
        </is>
      </c>
      <c r="P87" s="19" t="inlineStr">
        <is>
          <t>Own website + free trial, Shopify/WordPress/Chrome stores, AppSumo, direct B2B sales, CodeCanyon</t>
        </is>
      </c>
    </row>
    <row r="88">
      <c r="A88" s="24" t="n">
        <v>87</v>
      </c>
      <c r="B88" s="24" t="inlineStr">
        <is>
          <t>Software, SaaS Micro-tools &amp; Apps</t>
        </is>
      </c>
      <c r="C88" s="24" t="inlineStr">
        <is>
          <t>Telegram / Discord Community Bot</t>
        </is>
      </c>
      <c r="D88" s="24" t="inlineStr">
        <is>
          <t>Auto-moderation, paid-member access and scheduled posts.</t>
        </is>
      </c>
      <c r="E88" s="24" t="inlineStr">
        <is>
          <t>Community owners, course creators</t>
        </is>
      </c>
      <c r="F88" s="24" t="inlineStr">
        <is>
          <t>Monthly subscription</t>
        </is>
      </c>
      <c r="G88" s="25" t="n">
        <v>20000</v>
      </c>
      <c r="H88" s="25" t="n">
        <v>499</v>
      </c>
      <c r="I88" s="26">
        <f>H88*(1-Assumptions!$B$6)</f>
        <v/>
      </c>
      <c r="J88" s="27">
        <f>IF(I88&gt;0,CEILING(G88/I88,1),0)</f>
        <v/>
      </c>
      <c r="K88" s="27">
        <f>IF(H88&gt;0,CEILING(Assumptions!$B$4/H88,1),0)</f>
        <v/>
      </c>
      <c r="L88" s="27">
        <f>IF(H88&gt;0,CEILING(Assumptions!$B$5/H88,1),0)</f>
        <v/>
      </c>
      <c r="M88" s="26">
        <f>Assumptions!$B$4*(1-Assumptions!$B$6)-G88</f>
        <v/>
      </c>
      <c r="N88" s="26">
        <f>Assumptions!$B$5*(1-Assumptions!$B$6)-G88</f>
        <v/>
      </c>
      <c r="O88" s="24" t="inlineStr">
        <is>
          <t>No-code (Bubble, Softr, Glide, FlutterFlow) or freelance developer; AI coding assistants; hosting (AWS/Vercel)</t>
        </is>
      </c>
      <c r="P88" s="24" t="inlineStr">
        <is>
          <t>Own website + free trial, Shopify/WordPress/Chrome stores, AppSumo, direct B2B sales, CodeCanyon</t>
        </is>
      </c>
    </row>
    <row r="89">
      <c r="A89" s="19" t="n">
        <v>88</v>
      </c>
      <c r="B89" s="19" t="inlineStr">
        <is>
          <t>Software, SaaS Micro-tools &amp; Apps</t>
        </is>
      </c>
      <c r="C89" s="19" t="inlineStr">
        <is>
          <t>AI Chatbot Widget for Websites</t>
        </is>
      </c>
      <c r="D89" s="19" t="inlineStr">
        <is>
          <t>Trains on the business's FAQs/docs and answers visitors 24x7, captures leads.</t>
        </is>
      </c>
      <c r="E89" s="19" t="inlineStr">
        <is>
          <t>SMEs, e-commerce, education</t>
        </is>
      </c>
      <c r="F89" s="19" t="inlineStr">
        <is>
          <t>Monthly subscription</t>
        </is>
      </c>
      <c r="G89" s="28" t="n">
        <v>40000</v>
      </c>
      <c r="H89" s="28" t="n">
        <v>1499</v>
      </c>
      <c r="I89" s="29">
        <f>H89*(1-Assumptions!$B$6)</f>
        <v/>
      </c>
      <c r="J89" s="30">
        <f>IF(I89&gt;0,CEILING(G89/I89,1),0)</f>
        <v/>
      </c>
      <c r="K89" s="30">
        <f>IF(H89&gt;0,CEILING(Assumptions!$B$4/H89,1),0)</f>
        <v/>
      </c>
      <c r="L89" s="30">
        <f>IF(H89&gt;0,CEILING(Assumptions!$B$5/H89,1),0)</f>
        <v/>
      </c>
      <c r="M89" s="29">
        <f>Assumptions!$B$4*(1-Assumptions!$B$6)-G89</f>
        <v/>
      </c>
      <c r="N89" s="29">
        <f>Assumptions!$B$5*(1-Assumptions!$B$6)-G89</f>
        <v/>
      </c>
      <c r="O89" s="19" t="inlineStr">
        <is>
          <t>No-code (Bubble, Softr, Glide, FlutterFlow) or freelance developer; AI coding assistants; hosting (AWS/Vercel)</t>
        </is>
      </c>
      <c r="P89" s="19" t="inlineStr">
        <is>
          <t>Own website + free trial, Shopify/WordPress/Chrome stores, AppSumo, direct B2B sales, CodeCanyon</t>
        </is>
      </c>
    </row>
    <row r="90">
      <c r="A90" s="24" t="n">
        <v>89</v>
      </c>
      <c r="B90" s="24" t="inlineStr">
        <is>
          <t>Software, SaaS Micro-tools &amp; Apps</t>
        </is>
      </c>
      <c r="C90" s="24" t="inlineStr">
        <is>
          <t>Real Estate Lead Management CRM</t>
        </is>
      </c>
      <c r="D90" s="24" t="inlineStr">
        <is>
          <t>Captures portal leads, auto-assigns agents, tracks site visits.</t>
        </is>
      </c>
      <c r="E90" s="24" t="inlineStr">
        <is>
          <t>Real-estate brokers, builders</t>
        </is>
      </c>
      <c r="F90" s="24" t="inlineStr">
        <is>
          <t>Monthly subscription</t>
        </is>
      </c>
      <c r="G90" s="25" t="n">
        <v>60000</v>
      </c>
      <c r="H90" s="25" t="n">
        <v>1999</v>
      </c>
      <c r="I90" s="26">
        <f>H90*(1-Assumptions!$B$6)</f>
        <v/>
      </c>
      <c r="J90" s="27">
        <f>IF(I90&gt;0,CEILING(G90/I90,1),0)</f>
        <v/>
      </c>
      <c r="K90" s="27">
        <f>IF(H90&gt;0,CEILING(Assumptions!$B$4/H90,1),0)</f>
        <v/>
      </c>
      <c r="L90" s="27">
        <f>IF(H90&gt;0,CEILING(Assumptions!$B$5/H90,1),0)</f>
        <v/>
      </c>
      <c r="M90" s="26">
        <f>Assumptions!$B$4*(1-Assumptions!$B$6)-G90</f>
        <v/>
      </c>
      <c r="N90" s="26">
        <f>Assumptions!$B$5*(1-Assumptions!$B$6)-G90</f>
        <v/>
      </c>
      <c r="O90" s="24" t="inlineStr">
        <is>
          <t>No-code (Bubble, Softr, Glide, FlutterFlow) or freelance developer; AI coding assistants; hosting (AWS/Vercel)</t>
        </is>
      </c>
      <c r="P90" s="24" t="inlineStr">
        <is>
          <t>Own website + free trial, Shopify/WordPress/Chrome stores, AppSumo, direct B2B sales, CodeCanyon</t>
        </is>
      </c>
    </row>
    <row r="91">
      <c r="A91" s="19" t="n">
        <v>90</v>
      </c>
      <c r="B91" s="19" t="inlineStr">
        <is>
          <t>Software, SaaS Micro-tools &amp; Apps</t>
        </is>
      </c>
      <c r="C91" s="19" t="inlineStr">
        <is>
          <t>Field Staff Attendance App with Geo-fencing</t>
        </is>
      </c>
      <c r="D91" s="19" t="inlineStr">
        <is>
          <t>Selfie + GPS attendance, visit logs and expense claims.</t>
        </is>
      </c>
      <c r="E91" s="19" t="inlineStr">
        <is>
          <t>Companies with field sales/service teams</t>
        </is>
      </c>
      <c r="F91" s="19" t="inlineStr">
        <is>
          <t>Monthly subscription</t>
        </is>
      </c>
      <c r="G91" s="28" t="n">
        <v>70000</v>
      </c>
      <c r="H91" s="28" t="n">
        <v>2499</v>
      </c>
      <c r="I91" s="29">
        <f>H91*(1-Assumptions!$B$6)</f>
        <v/>
      </c>
      <c r="J91" s="30">
        <f>IF(I91&gt;0,CEILING(G91/I91,1),0)</f>
        <v/>
      </c>
      <c r="K91" s="30">
        <f>IF(H91&gt;0,CEILING(Assumptions!$B$4/H91,1),0)</f>
        <v/>
      </c>
      <c r="L91" s="30">
        <f>IF(H91&gt;0,CEILING(Assumptions!$B$5/H91,1),0)</f>
        <v/>
      </c>
      <c r="M91" s="29">
        <f>Assumptions!$B$4*(1-Assumptions!$B$6)-G91</f>
        <v/>
      </c>
      <c r="N91" s="29">
        <f>Assumptions!$B$5*(1-Assumptions!$B$6)-G91</f>
        <v/>
      </c>
      <c r="O91" s="19" t="inlineStr">
        <is>
          <t>No-code (Bubble, Softr, Glide, FlutterFlow) or freelance developer; AI coding assistants; hosting (AWS/Vercel)</t>
        </is>
      </c>
      <c r="P91" s="19" t="inlineStr">
        <is>
          <t>Own website + free trial, Shopify/WordPress/Chrome stores, AppSumo, direct B2B sales, CodeCanyon</t>
        </is>
      </c>
    </row>
    <row r="92">
      <c r="A92" s="24" t="n">
        <v>91</v>
      </c>
      <c r="B92" s="24" t="inlineStr">
        <is>
          <t>AI Prompts, GPTs &amp; Automation</t>
        </is>
      </c>
      <c r="C92" s="24" t="inlineStr">
        <is>
          <t>1,000+ AI Prompts for Marketers</t>
        </is>
      </c>
      <c r="D92" s="24" t="inlineStr">
        <is>
          <t>Categorised prompts for ads, emails, SEO, social posts and strategy.</t>
        </is>
      </c>
      <c r="E92" s="24" t="inlineStr">
        <is>
          <t>Marketers, business owners</t>
        </is>
      </c>
      <c r="F92" s="24" t="inlineStr">
        <is>
          <t>One-time</t>
        </is>
      </c>
      <c r="G92" s="25" t="n">
        <v>2000</v>
      </c>
      <c r="H92" s="25" t="n">
        <v>299</v>
      </c>
      <c r="I92" s="26">
        <f>H92*(1-Assumptions!$B$6)</f>
        <v/>
      </c>
      <c r="J92" s="27">
        <f>IF(I92&gt;0,CEILING(G92/I92,1),0)</f>
        <v/>
      </c>
      <c r="K92" s="27">
        <f>IF(H92&gt;0,CEILING(Assumptions!$B$4/H92,1),0)</f>
        <v/>
      </c>
      <c r="L92" s="27">
        <f>IF(H92&gt;0,CEILING(Assumptions!$B$5/H92,1),0)</f>
        <v/>
      </c>
      <c r="M92" s="26">
        <f>Assumptions!$B$4*(1-Assumptions!$B$6)-G92</f>
        <v/>
      </c>
      <c r="N92" s="26">
        <f>Assumptions!$B$5*(1-Assumptions!$B$6)-G92</f>
        <v/>
      </c>
      <c r="O92" s="24" t="inlineStr">
        <is>
          <t>ChatGPT/Claude/Gemini, Custom GPTs, Zapier/Make/n8n, Notion for delivery</t>
        </is>
      </c>
      <c r="P92" s="24" t="inlineStr">
        <is>
          <t>Own website, Gumroad, PromptBase, LinkedIn, YouTube tutorials, direct B2B</t>
        </is>
      </c>
    </row>
    <row r="93">
      <c r="A93" s="19" t="n">
        <v>92</v>
      </c>
      <c r="B93" s="19" t="inlineStr">
        <is>
          <t>AI Prompts, GPTs &amp; Automation</t>
        </is>
      </c>
      <c r="C93" s="19" t="inlineStr">
        <is>
          <t>AI Prompt Pack for HR &amp; Recruiters</t>
        </is>
      </c>
      <c r="D93" s="19" t="inlineStr">
        <is>
          <t>Prompts for JDs, screening, interview questions, policies and reviews.</t>
        </is>
      </c>
      <c r="E93" s="19" t="inlineStr">
        <is>
          <t>HR professionals, recruiters</t>
        </is>
      </c>
      <c r="F93" s="19" t="inlineStr">
        <is>
          <t>One-time</t>
        </is>
      </c>
      <c r="G93" s="28" t="n">
        <v>2000</v>
      </c>
      <c r="H93" s="28" t="n">
        <v>399</v>
      </c>
      <c r="I93" s="29">
        <f>H93*(1-Assumptions!$B$6)</f>
        <v/>
      </c>
      <c r="J93" s="30">
        <f>IF(I93&gt;0,CEILING(G93/I93,1),0)</f>
        <v/>
      </c>
      <c r="K93" s="30">
        <f>IF(H93&gt;0,CEILING(Assumptions!$B$4/H93,1),0)</f>
        <v/>
      </c>
      <c r="L93" s="30">
        <f>IF(H93&gt;0,CEILING(Assumptions!$B$5/H93,1),0)</f>
        <v/>
      </c>
      <c r="M93" s="29">
        <f>Assumptions!$B$4*(1-Assumptions!$B$6)-G93</f>
        <v/>
      </c>
      <c r="N93" s="29">
        <f>Assumptions!$B$5*(1-Assumptions!$B$6)-G93</f>
        <v/>
      </c>
      <c r="O93" s="19" t="inlineStr">
        <is>
          <t>ChatGPT/Claude/Gemini, Custom GPTs, Zapier/Make/n8n, Notion for delivery</t>
        </is>
      </c>
      <c r="P93" s="19" t="inlineStr">
        <is>
          <t>Own website, Gumroad, PromptBase, LinkedIn, YouTube tutorials, direct B2B</t>
        </is>
      </c>
    </row>
    <row r="94">
      <c r="A94" s="24" t="n">
        <v>93</v>
      </c>
      <c r="B94" s="24" t="inlineStr">
        <is>
          <t>AI Prompts, GPTs &amp; Automation</t>
        </is>
      </c>
      <c r="C94" s="24" t="inlineStr">
        <is>
          <t>AI Image Prompts for Product Photography</t>
        </is>
      </c>
      <c r="D94" s="24" t="inlineStr">
        <is>
          <t>Prompt formulas for studio-style product shots and lifestyle images.</t>
        </is>
      </c>
      <c r="E94" s="24" t="inlineStr">
        <is>
          <t>E-commerce sellers, designers</t>
        </is>
      </c>
      <c r="F94" s="24" t="inlineStr">
        <is>
          <t>One-time</t>
        </is>
      </c>
      <c r="G94" s="25" t="n">
        <v>2000</v>
      </c>
      <c r="H94" s="25" t="n">
        <v>399</v>
      </c>
      <c r="I94" s="26">
        <f>H94*(1-Assumptions!$B$6)</f>
        <v/>
      </c>
      <c r="J94" s="27">
        <f>IF(I94&gt;0,CEILING(G94/I94,1),0)</f>
        <v/>
      </c>
      <c r="K94" s="27">
        <f>IF(H94&gt;0,CEILING(Assumptions!$B$4/H94,1),0)</f>
        <v/>
      </c>
      <c r="L94" s="27">
        <f>IF(H94&gt;0,CEILING(Assumptions!$B$5/H94,1),0)</f>
        <v/>
      </c>
      <c r="M94" s="26">
        <f>Assumptions!$B$4*(1-Assumptions!$B$6)-G94</f>
        <v/>
      </c>
      <c r="N94" s="26">
        <f>Assumptions!$B$5*(1-Assumptions!$B$6)-G94</f>
        <v/>
      </c>
      <c r="O94" s="24" t="inlineStr">
        <is>
          <t>ChatGPT/Claude/Gemini, Custom GPTs, Zapier/Make/n8n, Notion for delivery</t>
        </is>
      </c>
      <c r="P94" s="24" t="inlineStr">
        <is>
          <t>Own website, Gumroad, PromptBase, LinkedIn, YouTube tutorials, direct B2B</t>
        </is>
      </c>
    </row>
    <row r="95">
      <c r="A95" s="19" t="n">
        <v>94</v>
      </c>
      <c r="B95" s="19" t="inlineStr">
        <is>
          <t>AI Prompts, GPTs &amp; Automation</t>
        </is>
      </c>
      <c r="C95" s="19" t="inlineStr">
        <is>
          <t>Custom AI Assistant for Real Estate Agents</t>
        </is>
      </c>
      <c r="D95" s="19" t="inlineStr">
        <is>
          <t>Pre-built GPT/assistant for listings, client replies and ad copy.</t>
        </is>
      </c>
      <c r="E95" s="19" t="inlineStr">
        <is>
          <t>Real-estate agents</t>
        </is>
      </c>
      <c r="F95" s="19" t="inlineStr">
        <is>
          <t>One-time</t>
        </is>
      </c>
      <c r="G95" s="28" t="n">
        <v>5000</v>
      </c>
      <c r="H95" s="28" t="n">
        <v>999</v>
      </c>
      <c r="I95" s="29">
        <f>H95*(1-Assumptions!$B$6)</f>
        <v/>
      </c>
      <c r="J95" s="30">
        <f>IF(I95&gt;0,CEILING(G95/I95,1),0)</f>
        <v/>
      </c>
      <c r="K95" s="30">
        <f>IF(H95&gt;0,CEILING(Assumptions!$B$4/H95,1),0)</f>
        <v/>
      </c>
      <c r="L95" s="30">
        <f>IF(H95&gt;0,CEILING(Assumptions!$B$5/H95,1),0)</f>
        <v/>
      </c>
      <c r="M95" s="29">
        <f>Assumptions!$B$4*(1-Assumptions!$B$6)-G95</f>
        <v/>
      </c>
      <c r="N95" s="29">
        <f>Assumptions!$B$5*(1-Assumptions!$B$6)-G95</f>
        <v/>
      </c>
      <c r="O95" s="19" t="inlineStr">
        <is>
          <t>ChatGPT/Claude/Gemini, Custom GPTs, Zapier/Make/n8n, Notion for delivery</t>
        </is>
      </c>
      <c r="P95" s="19" t="inlineStr">
        <is>
          <t>Own website, Gumroad, PromptBase, LinkedIn, YouTube tutorials, direct B2B</t>
        </is>
      </c>
    </row>
    <row r="96">
      <c r="A96" s="24" t="n">
        <v>95</v>
      </c>
      <c r="B96" s="24" t="inlineStr">
        <is>
          <t>AI Prompts, GPTs &amp; Automation</t>
        </is>
      </c>
      <c r="C96" s="24" t="inlineStr">
        <is>
          <t>Zapier / Make Automation Blueprints for Agencies</t>
        </is>
      </c>
      <c r="D96" s="24" t="inlineStr">
        <is>
          <t>Importable workflows for lead capture, onboarding and reporting.</t>
        </is>
      </c>
      <c r="E96" s="24" t="inlineStr">
        <is>
          <t>Agency owners, operations managers</t>
        </is>
      </c>
      <c r="F96" s="24" t="inlineStr">
        <is>
          <t>One-time</t>
        </is>
      </c>
      <c r="G96" s="25" t="n">
        <v>5000</v>
      </c>
      <c r="H96" s="25" t="n">
        <v>1999</v>
      </c>
      <c r="I96" s="26">
        <f>H96*(1-Assumptions!$B$6)</f>
        <v/>
      </c>
      <c r="J96" s="27">
        <f>IF(I96&gt;0,CEILING(G96/I96,1),0)</f>
        <v/>
      </c>
      <c r="K96" s="27">
        <f>IF(H96&gt;0,CEILING(Assumptions!$B$4/H96,1),0)</f>
        <v/>
      </c>
      <c r="L96" s="27">
        <f>IF(H96&gt;0,CEILING(Assumptions!$B$5/H96,1),0)</f>
        <v/>
      </c>
      <c r="M96" s="26">
        <f>Assumptions!$B$4*(1-Assumptions!$B$6)-G96</f>
        <v/>
      </c>
      <c r="N96" s="26">
        <f>Assumptions!$B$5*(1-Assumptions!$B$6)-G96</f>
        <v/>
      </c>
      <c r="O96" s="24" t="inlineStr">
        <is>
          <t>ChatGPT/Claude/Gemini, Custom GPTs, Zapier/Make/n8n, Notion for delivery</t>
        </is>
      </c>
      <c r="P96" s="24" t="inlineStr">
        <is>
          <t>Own website, Gumroad, PromptBase, LinkedIn, YouTube tutorials, direct B2B</t>
        </is>
      </c>
    </row>
    <row r="97">
      <c r="A97" s="19" t="n">
        <v>96</v>
      </c>
      <c r="B97" s="19" t="inlineStr">
        <is>
          <t>AI Prompts, GPTs &amp; Automation</t>
        </is>
      </c>
      <c r="C97" s="19" t="inlineStr">
        <is>
          <t>n8n Workflow Templates (Lead-gen, Invoicing)</t>
        </is>
      </c>
      <c r="D97" s="19" t="inlineStr">
        <is>
          <t>Self-hosted automation templates with setup videos.</t>
        </is>
      </c>
      <c r="E97" s="19" t="inlineStr">
        <is>
          <t>Tech-savvy founders, automation freelancers</t>
        </is>
      </c>
      <c r="F97" s="19" t="inlineStr">
        <is>
          <t>One-time</t>
        </is>
      </c>
      <c r="G97" s="28" t="n">
        <v>5000</v>
      </c>
      <c r="H97" s="28" t="n">
        <v>1999</v>
      </c>
      <c r="I97" s="29">
        <f>H97*(1-Assumptions!$B$6)</f>
        <v/>
      </c>
      <c r="J97" s="30">
        <f>IF(I97&gt;0,CEILING(G97/I97,1),0)</f>
        <v/>
      </c>
      <c r="K97" s="30">
        <f>IF(H97&gt;0,CEILING(Assumptions!$B$4/H97,1),0)</f>
        <v/>
      </c>
      <c r="L97" s="30">
        <f>IF(H97&gt;0,CEILING(Assumptions!$B$5/H97,1),0)</f>
        <v/>
      </c>
      <c r="M97" s="29">
        <f>Assumptions!$B$4*(1-Assumptions!$B$6)-G97</f>
        <v/>
      </c>
      <c r="N97" s="29">
        <f>Assumptions!$B$5*(1-Assumptions!$B$6)-G97</f>
        <v/>
      </c>
      <c r="O97" s="19" t="inlineStr">
        <is>
          <t>ChatGPT/Claude/Gemini, Custom GPTs, Zapier/Make/n8n, Notion for delivery</t>
        </is>
      </c>
      <c r="P97" s="19" t="inlineStr">
        <is>
          <t>Own website, Gumroad, PromptBase, LinkedIn, YouTube tutorials, direct B2B</t>
        </is>
      </c>
    </row>
    <row r="98">
      <c r="A98" s="24" t="n">
        <v>97</v>
      </c>
      <c r="B98" s="24" t="inlineStr">
        <is>
          <t>AI Prompts, GPTs &amp; Automation</t>
        </is>
      </c>
      <c r="C98" s="24" t="inlineStr">
        <is>
          <t>AI Content Repurposing System</t>
        </is>
      </c>
      <c r="D98" s="24" t="inlineStr">
        <is>
          <t>Turn one blog/video into reels, posts, threads and emails with prompts + SOP.</t>
        </is>
      </c>
      <c r="E98" s="24" t="inlineStr">
        <is>
          <t>Creators, marketing teams</t>
        </is>
      </c>
      <c r="F98" s="24" t="inlineStr">
        <is>
          <t>One-time</t>
        </is>
      </c>
      <c r="G98" s="25" t="n">
        <v>4000</v>
      </c>
      <c r="H98" s="25" t="n">
        <v>1499</v>
      </c>
      <c r="I98" s="26">
        <f>H98*(1-Assumptions!$B$6)</f>
        <v/>
      </c>
      <c r="J98" s="27">
        <f>IF(I98&gt;0,CEILING(G98/I98,1),0)</f>
        <v/>
      </c>
      <c r="K98" s="27">
        <f>IF(H98&gt;0,CEILING(Assumptions!$B$4/H98,1),0)</f>
        <v/>
      </c>
      <c r="L98" s="27">
        <f>IF(H98&gt;0,CEILING(Assumptions!$B$5/H98,1),0)</f>
        <v/>
      </c>
      <c r="M98" s="26">
        <f>Assumptions!$B$4*(1-Assumptions!$B$6)-G98</f>
        <v/>
      </c>
      <c r="N98" s="26">
        <f>Assumptions!$B$5*(1-Assumptions!$B$6)-G98</f>
        <v/>
      </c>
      <c r="O98" s="24" t="inlineStr">
        <is>
          <t>ChatGPT/Claude/Gemini, Custom GPTs, Zapier/Make/n8n, Notion for delivery</t>
        </is>
      </c>
      <c r="P98" s="24" t="inlineStr">
        <is>
          <t>Own website, Gumroad, PromptBase, LinkedIn, YouTube tutorials, direct B2B</t>
        </is>
      </c>
    </row>
    <row r="99">
      <c r="A99" s="19" t="n">
        <v>98</v>
      </c>
      <c r="B99" s="19" t="inlineStr">
        <is>
          <t>AI Prompts, GPTs &amp; Automation</t>
        </is>
      </c>
      <c r="C99" s="19" t="inlineStr">
        <is>
          <t>AI Customer Support Setup Kit</t>
        </is>
      </c>
      <c r="D99" s="19" t="inlineStr">
        <is>
          <t>FAQ-bot setup guide, knowledge-base template and escalation scripts.</t>
        </is>
      </c>
      <c r="E99" s="19" t="inlineStr">
        <is>
          <t>SMEs, D2C brands</t>
        </is>
      </c>
      <c r="F99" s="19" t="inlineStr">
        <is>
          <t>One-time</t>
        </is>
      </c>
      <c r="G99" s="28" t="n">
        <v>8000</v>
      </c>
      <c r="H99" s="28" t="n">
        <v>4999</v>
      </c>
      <c r="I99" s="29">
        <f>H99*(1-Assumptions!$B$6)</f>
        <v/>
      </c>
      <c r="J99" s="30">
        <f>IF(I99&gt;0,CEILING(G99/I99,1),0)</f>
        <v/>
      </c>
      <c r="K99" s="30">
        <f>IF(H99&gt;0,CEILING(Assumptions!$B$4/H99,1),0)</f>
        <v/>
      </c>
      <c r="L99" s="30">
        <f>IF(H99&gt;0,CEILING(Assumptions!$B$5/H99,1),0)</f>
        <v/>
      </c>
      <c r="M99" s="29">
        <f>Assumptions!$B$4*(1-Assumptions!$B$6)-G99</f>
        <v/>
      </c>
      <c r="N99" s="29">
        <f>Assumptions!$B$5*(1-Assumptions!$B$6)-G99</f>
        <v/>
      </c>
      <c r="O99" s="19" t="inlineStr">
        <is>
          <t>ChatGPT/Claude/Gemini, Custom GPTs, Zapier/Make/n8n, Notion for delivery</t>
        </is>
      </c>
      <c r="P99" s="19" t="inlineStr">
        <is>
          <t>Own website, Gumroad, PromptBase, LinkedIn, YouTube tutorials, direct B2B</t>
        </is>
      </c>
    </row>
    <row r="100">
      <c r="A100" s="24" t="n">
        <v>99</v>
      </c>
      <c r="B100" s="24" t="inlineStr">
        <is>
          <t>AI Prompts, GPTs &amp; Automation</t>
        </is>
      </c>
      <c r="C100" s="24" t="inlineStr">
        <is>
          <t>AI Prompt Library for Teachers</t>
        </is>
      </c>
      <c r="D100" s="24" t="inlineStr">
        <is>
          <t>Lesson plans, question papers, rubrics and parent-communication prompts.</t>
        </is>
      </c>
      <c r="E100" s="24" t="inlineStr">
        <is>
          <t>School teachers, tutors</t>
        </is>
      </c>
      <c r="F100" s="24" t="inlineStr">
        <is>
          <t>One-time</t>
        </is>
      </c>
      <c r="G100" s="25" t="n">
        <v>2000</v>
      </c>
      <c r="H100" s="25" t="n">
        <v>299</v>
      </c>
      <c r="I100" s="26">
        <f>H100*(1-Assumptions!$B$6)</f>
        <v/>
      </c>
      <c r="J100" s="27">
        <f>IF(I100&gt;0,CEILING(G100/I100,1),0)</f>
        <v/>
      </c>
      <c r="K100" s="27">
        <f>IF(H100&gt;0,CEILING(Assumptions!$B$4/H100,1),0)</f>
        <v/>
      </c>
      <c r="L100" s="27">
        <f>IF(H100&gt;0,CEILING(Assumptions!$B$5/H100,1),0)</f>
        <v/>
      </c>
      <c r="M100" s="26">
        <f>Assumptions!$B$4*(1-Assumptions!$B$6)-G100</f>
        <v/>
      </c>
      <c r="N100" s="26">
        <f>Assumptions!$B$5*(1-Assumptions!$B$6)-G100</f>
        <v/>
      </c>
      <c r="O100" s="24" t="inlineStr">
        <is>
          <t>ChatGPT/Claude/Gemini, Custom GPTs, Zapier/Make/n8n, Notion for delivery</t>
        </is>
      </c>
      <c r="P100" s="24" t="inlineStr">
        <is>
          <t>Own website, Gumroad, PromptBase, LinkedIn, YouTube tutorials, direct B2B</t>
        </is>
      </c>
    </row>
    <row r="101">
      <c r="A101" s="19" t="n">
        <v>100</v>
      </c>
      <c r="B101" s="19" t="inlineStr">
        <is>
          <t>AI Prompts, GPTs &amp; Automation</t>
        </is>
      </c>
      <c r="C101" s="19" t="inlineStr">
        <is>
          <t>AI Resume &amp; Cover Letter Prompt Kit</t>
        </is>
      </c>
      <c r="D101" s="19" t="inlineStr">
        <is>
          <t>Prompts that tailor resumes and cover letters to any job description.</t>
        </is>
      </c>
      <c r="E101" s="19" t="inlineStr">
        <is>
          <t>Job seekers</t>
        </is>
      </c>
      <c r="F101" s="19" t="inlineStr">
        <is>
          <t>One-time</t>
        </is>
      </c>
      <c r="G101" s="28" t="n">
        <v>1500</v>
      </c>
      <c r="H101" s="28" t="n">
        <v>199</v>
      </c>
      <c r="I101" s="29">
        <f>H101*(1-Assumptions!$B$6)</f>
        <v/>
      </c>
      <c r="J101" s="30">
        <f>IF(I101&gt;0,CEILING(G101/I101,1),0)</f>
        <v/>
      </c>
      <c r="K101" s="30">
        <f>IF(H101&gt;0,CEILING(Assumptions!$B$4/H101,1),0)</f>
        <v/>
      </c>
      <c r="L101" s="30">
        <f>IF(H101&gt;0,CEILING(Assumptions!$B$5/H101,1),0)</f>
        <v/>
      </c>
      <c r="M101" s="29">
        <f>Assumptions!$B$4*(1-Assumptions!$B$6)-G101</f>
        <v/>
      </c>
      <c r="N101" s="29">
        <f>Assumptions!$B$5*(1-Assumptions!$B$6)-G101</f>
        <v/>
      </c>
      <c r="O101" s="19" t="inlineStr">
        <is>
          <t>ChatGPT/Claude/Gemini, Custom GPTs, Zapier/Make/n8n, Notion for delivery</t>
        </is>
      </c>
      <c r="P101" s="19" t="inlineStr">
        <is>
          <t>Own website, Gumroad, PromptBase, LinkedIn, YouTube tutorials, direct B2B</t>
        </is>
      </c>
    </row>
    <row r="102">
      <c r="A102" s="24" t="n">
        <v>101</v>
      </c>
      <c r="B102" s="24" t="inlineStr">
        <is>
          <t>AI Prompts, GPTs &amp; Automation</t>
        </is>
      </c>
      <c r="C102" s="24" t="inlineStr">
        <is>
          <t>AI Tools Directory &amp; Playbook for Business Owners</t>
        </is>
      </c>
      <c r="D102" s="24" t="inlineStr">
        <is>
          <t>Best tools by use-case, costs, and step-by-step how-tos.</t>
        </is>
      </c>
      <c r="E102" s="24" t="inlineStr">
        <is>
          <t>SME owners, managers</t>
        </is>
      </c>
      <c r="F102" s="24" t="inlineStr">
        <is>
          <t>One-time</t>
        </is>
      </c>
      <c r="G102" s="25" t="n">
        <v>3000</v>
      </c>
      <c r="H102" s="25" t="n">
        <v>499</v>
      </c>
      <c r="I102" s="26">
        <f>H102*(1-Assumptions!$B$6)</f>
        <v/>
      </c>
      <c r="J102" s="27">
        <f>IF(I102&gt;0,CEILING(G102/I102,1),0)</f>
        <v/>
      </c>
      <c r="K102" s="27">
        <f>IF(H102&gt;0,CEILING(Assumptions!$B$4/H102,1),0)</f>
        <v/>
      </c>
      <c r="L102" s="27">
        <f>IF(H102&gt;0,CEILING(Assumptions!$B$5/H102,1),0)</f>
        <v/>
      </c>
      <c r="M102" s="26">
        <f>Assumptions!$B$4*(1-Assumptions!$B$6)-G102</f>
        <v/>
      </c>
      <c r="N102" s="26">
        <f>Assumptions!$B$5*(1-Assumptions!$B$6)-G102</f>
        <v/>
      </c>
      <c r="O102" s="24" t="inlineStr">
        <is>
          <t>ChatGPT/Claude/Gemini, Custom GPTs, Zapier/Make/n8n, Notion for delivery</t>
        </is>
      </c>
      <c r="P102" s="24" t="inlineStr">
        <is>
          <t>Own website, Gumroad, PromptBase, LinkedIn, YouTube tutorials, direct B2B</t>
        </is>
      </c>
    </row>
    <row r="103">
      <c r="A103" s="19" t="n">
        <v>102</v>
      </c>
      <c r="B103" s="19" t="inlineStr">
        <is>
          <t>AI Prompts, GPTs &amp; Automation</t>
        </is>
      </c>
      <c r="C103" s="19" t="inlineStr">
        <is>
          <t>AI Prompt Pack for Chartered Accountants</t>
        </is>
      </c>
      <c r="D103" s="19" t="inlineStr">
        <is>
          <t>Prompts for notices, reconciliations, client emails and audit checklists.</t>
        </is>
      </c>
      <c r="E103" s="19" t="inlineStr">
        <is>
          <t>CAs, accountants</t>
        </is>
      </c>
      <c r="F103" s="19" t="inlineStr">
        <is>
          <t>One-time</t>
        </is>
      </c>
      <c r="G103" s="28" t="n">
        <v>2000</v>
      </c>
      <c r="H103" s="28" t="n">
        <v>799</v>
      </c>
      <c r="I103" s="29">
        <f>H103*(1-Assumptions!$B$6)</f>
        <v/>
      </c>
      <c r="J103" s="30">
        <f>IF(I103&gt;0,CEILING(G103/I103,1),0)</f>
        <v/>
      </c>
      <c r="K103" s="30">
        <f>IF(H103&gt;0,CEILING(Assumptions!$B$4/H103,1),0)</f>
        <v/>
      </c>
      <c r="L103" s="30">
        <f>IF(H103&gt;0,CEILING(Assumptions!$B$5/H103,1),0)</f>
        <v/>
      </c>
      <c r="M103" s="29">
        <f>Assumptions!$B$4*(1-Assumptions!$B$6)-G103</f>
        <v/>
      </c>
      <c r="N103" s="29">
        <f>Assumptions!$B$5*(1-Assumptions!$B$6)-G103</f>
        <v/>
      </c>
      <c r="O103" s="19" t="inlineStr">
        <is>
          <t>ChatGPT/Claude/Gemini, Custom GPTs, Zapier/Make/n8n, Notion for delivery</t>
        </is>
      </c>
      <c r="P103" s="19" t="inlineStr">
        <is>
          <t>Own website, Gumroad, PromptBase, LinkedIn, YouTube tutorials, direct B2B</t>
        </is>
      </c>
    </row>
    <row r="104">
      <c r="A104" s="24" t="n">
        <v>103</v>
      </c>
      <c r="B104" s="24" t="inlineStr">
        <is>
          <t>AI Prompts, GPTs &amp; Automation</t>
        </is>
      </c>
      <c r="C104" s="24" t="inlineStr">
        <is>
          <t>Faceless YouTube System with AI</t>
        </is>
      </c>
      <c r="D104" s="24" t="inlineStr">
        <is>
          <t>Niche selection, AI scripts, voice, editing workflow and upload checklist.</t>
        </is>
      </c>
      <c r="E104" s="24" t="inlineStr">
        <is>
          <t>Aspiring YouTubers</t>
        </is>
      </c>
      <c r="F104" s="24" t="inlineStr">
        <is>
          <t>One-time</t>
        </is>
      </c>
      <c r="G104" s="25" t="n">
        <v>4000</v>
      </c>
      <c r="H104" s="25" t="n">
        <v>999</v>
      </c>
      <c r="I104" s="26">
        <f>H104*(1-Assumptions!$B$6)</f>
        <v/>
      </c>
      <c r="J104" s="27">
        <f>IF(I104&gt;0,CEILING(G104/I104,1),0)</f>
        <v/>
      </c>
      <c r="K104" s="27">
        <f>IF(H104&gt;0,CEILING(Assumptions!$B$4/H104,1),0)</f>
        <v/>
      </c>
      <c r="L104" s="27">
        <f>IF(H104&gt;0,CEILING(Assumptions!$B$5/H104,1),0)</f>
        <v/>
      </c>
      <c r="M104" s="26">
        <f>Assumptions!$B$4*(1-Assumptions!$B$6)-G104</f>
        <v/>
      </c>
      <c r="N104" s="26">
        <f>Assumptions!$B$5*(1-Assumptions!$B$6)-G104</f>
        <v/>
      </c>
      <c r="O104" s="24" t="inlineStr">
        <is>
          <t>ChatGPT/Claude/Gemini, Custom GPTs, Zapier/Make/n8n, Notion for delivery</t>
        </is>
      </c>
      <c r="P104" s="24" t="inlineStr">
        <is>
          <t>Own website, Gumroad, PromptBase, LinkedIn, YouTube tutorials, direct B2B</t>
        </is>
      </c>
    </row>
    <row r="105">
      <c r="A105" s="19" t="n">
        <v>104</v>
      </c>
      <c r="B105" s="19" t="inlineStr">
        <is>
          <t>AI Prompts, GPTs &amp; Automation</t>
        </is>
      </c>
      <c r="C105" s="19" t="inlineStr">
        <is>
          <t>Done-for-you AI Agent Setup (Productised Service)</t>
        </is>
      </c>
      <c r="D105" s="19" t="inlineStr">
        <is>
          <t>Fixed-scope package: set up one AI assistant/automation for a business.</t>
        </is>
      </c>
      <c r="E105" s="19" t="inlineStr">
        <is>
          <t>SMEs, clinics, coaching institutes</t>
        </is>
      </c>
      <c r="F105" s="19" t="inlineStr">
        <is>
          <t>Per project</t>
        </is>
      </c>
      <c r="G105" s="28" t="n">
        <v>5000</v>
      </c>
      <c r="H105" s="28" t="n">
        <v>14999</v>
      </c>
      <c r="I105" s="29">
        <f>H105*(1-Assumptions!$B$6)</f>
        <v/>
      </c>
      <c r="J105" s="30">
        <f>IF(I105&gt;0,CEILING(G105/I105,1),0)</f>
        <v/>
      </c>
      <c r="K105" s="30">
        <f>IF(H105&gt;0,CEILING(Assumptions!$B$4/H105,1),0)</f>
        <v/>
      </c>
      <c r="L105" s="30">
        <f>IF(H105&gt;0,CEILING(Assumptions!$B$5/H105,1),0)</f>
        <v/>
      </c>
      <c r="M105" s="29">
        <f>Assumptions!$B$4*(1-Assumptions!$B$6)-G105</f>
        <v/>
      </c>
      <c r="N105" s="29">
        <f>Assumptions!$B$5*(1-Assumptions!$B$6)-G105</f>
        <v/>
      </c>
      <c r="O105" s="19" t="inlineStr">
        <is>
          <t>ChatGPT/Claude/Gemini, Custom GPTs, Zapier/Make/n8n, Notion for delivery</t>
        </is>
      </c>
      <c r="P105" s="19" t="inlineStr">
        <is>
          <t>Own website, Gumroad, PromptBase, LinkedIn, YouTube tutorials, direct B2B</t>
        </is>
      </c>
    </row>
    <row r="106">
      <c r="A106" s="24" t="n">
        <v>105</v>
      </c>
      <c r="B106" s="24" t="inlineStr">
        <is>
          <t>AI Prompts, GPTs &amp; Automation</t>
        </is>
      </c>
      <c r="C106" s="24" t="inlineStr">
        <is>
          <t>Legal Drafting Prompt Pack for Lawyers</t>
        </is>
      </c>
      <c r="D106" s="24" t="inlineStr">
        <is>
          <t>Prompts for notices, agreements, case summaries and research.</t>
        </is>
      </c>
      <c r="E106" s="24" t="inlineStr">
        <is>
          <t>Advocates, law students</t>
        </is>
      </c>
      <c r="F106" s="24" t="inlineStr">
        <is>
          <t>One-time</t>
        </is>
      </c>
      <c r="G106" s="25" t="n">
        <v>2000</v>
      </c>
      <c r="H106" s="25" t="n">
        <v>799</v>
      </c>
      <c r="I106" s="26">
        <f>H106*(1-Assumptions!$B$6)</f>
        <v/>
      </c>
      <c r="J106" s="27">
        <f>IF(I106&gt;0,CEILING(G106/I106,1),0)</f>
        <v/>
      </c>
      <c r="K106" s="27">
        <f>IF(H106&gt;0,CEILING(Assumptions!$B$4/H106,1),0)</f>
        <v/>
      </c>
      <c r="L106" s="27">
        <f>IF(H106&gt;0,CEILING(Assumptions!$B$5/H106,1),0)</f>
        <v/>
      </c>
      <c r="M106" s="26">
        <f>Assumptions!$B$4*(1-Assumptions!$B$6)-G106</f>
        <v/>
      </c>
      <c r="N106" s="26">
        <f>Assumptions!$B$5*(1-Assumptions!$B$6)-G106</f>
        <v/>
      </c>
      <c r="O106" s="24" t="inlineStr">
        <is>
          <t>ChatGPT/Claude/Gemini, Custom GPTs, Zapier/Make/n8n, Notion for delivery</t>
        </is>
      </c>
      <c r="P106" s="24" t="inlineStr">
        <is>
          <t>Own website, Gumroad, PromptBase, LinkedIn, YouTube tutorials, direct B2B</t>
        </is>
      </c>
    </row>
    <row r="107">
      <c r="A107" s="19" t="n">
        <v>106</v>
      </c>
      <c r="B107" s="19" t="inlineStr">
        <is>
          <t>AI Prompts, GPTs &amp; Automation</t>
        </is>
      </c>
      <c r="C107" s="19" t="inlineStr">
        <is>
          <t>Email Marketing Automation Flows</t>
        </is>
      </c>
      <c r="D107" s="19" t="inlineStr">
        <is>
          <t>Welcome, abandoned-cart and win-back flows for Mailchimp/Brevo.</t>
        </is>
      </c>
      <c r="E107" s="19" t="inlineStr">
        <is>
          <t>E-commerce &amp; course businesses</t>
        </is>
      </c>
      <c r="F107" s="19" t="inlineStr">
        <is>
          <t>One-time</t>
        </is>
      </c>
      <c r="G107" s="28" t="n">
        <v>4000</v>
      </c>
      <c r="H107" s="28" t="n">
        <v>1499</v>
      </c>
      <c r="I107" s="29">
        <f>H107*(1-Assumptions!$B$6)</f>
        <v/>
      </c>
      <c r="J107" s="30">
        <f>IF(I107&gt;0,CEILING(G107/I107,1),0)</f>
        <v/>
      </c>
      <c r="K107" s="30">
        <f>IF(H107&gt;0,CEILING(Assumptions!$B$4/H107,1),0)</f>
        <v/>
      </c>
      <c r="L107" s="30">
        <f>IF(H107&gt;0,CEILING(Assumptions!$B$5/H107,1),0)</f>
        <v/>
      </c>
      <c r="M107" s="29">
        <f>Assumptions!$B$4*(1-Assumptions!$B$6)-G107</f>
        <v/>
      </c>
      <c r="N107" s="29">
        <f>Assumptions!$B$5*(1-Assumptions!$B$6)-G107</f>
        <v/>
      </c>
      <c r="O107" s="19" t="inlineStr">
        <is>
          <t>ChatGPT/Claude/Gemini, Custom GPTs, Zapier/Make/n8n, Notion for delivery</t>
        </is>
      </c>
      <c r="P107" s="19" t="inlineStr">
        <is>
          <t>Own website, Gumroad, PromptBase, LinkedIn, YouTube tutorials, direct B2B</t>
        </is>
      </c>
    </row>
    <row r="108">
      <c r="A108" s="24" t="n">
        <v>107</v>
      </c>
      <c r="B108" s="24" t="inlineStr">
        <is>
          <t>AI Prompts, GPTs &amp; Automation</t>
        </is>
      </c>
      <c r="C108" s="24" t="inlineStr">
        <is>
          <t>AI SEO Blog Writing Workflow</t>
        </is>
      </c>
      <c r="D108" s="24" t="inlineStr">
        <is>
          <t>Keyword-to-published-article workflow with prompts and quality checklist.</t>
        </is>
      </c>
      <c r="E108" s="24" t="inlineStr">
        <is>
          <t>Bloggers, content agencies</t>
        </is>
      </c>
      <c r="F108" s="24" t="inlineStr">
        <is>
          <t>One-time</t>
        </is>
      </c>
      <c r="G108" s="25" t="n">
        <v>3000</v>
      </c>
      <c r="H108" s="25" t="n">
        <v>999</v>
      </c>
      <c r="I108" s="26">
        <f>H108*(1-Assumptions!$B$6)</f>
        <v/>
      </c>
      <c r="J108" s="27">
        <f>IF(I108&gt;0,CEILING(G108/I108,1),0)</f>
        <v/>
      </c>
      <c r="K108" s="27">
        <f>IF(H108&gt;0,CEILING(Assumptions!$B$4/H108,1),0)</f>
        <v/>
      </c>
      <c r="L108" s="27">
        <f>IF(H108&gt;0,CEILING(Assumptions!$B$5/H108,1),0)</f>
        <v/>
      </c>
      <c r="M108" s="26">
        <f>Assumptions!$B$4*(1-Assumptions!$B$6)-G108</f>
        <v/>
      </c>
      <c r="N108" s="26">
        <f>Assumptions!$B$5*(1-Assumptions!$B$6)-G108</f>
        <v/>
      </c>
      <c r="O108" s="24" t="inlineStr">
        <is>
          <t>ChatGPT/Claude/Gemini, Custom GPTs, Zapier/Make/n8n, Notion for delivery</t>
        </is>
      </c>
      <c r="P108" s="24" t="inlineStr">
        <is>
          <t>Own website, Gumroad, PromptBase, LinkedIn, YouTube tutorials, direct B2B</t>
        </is>
      </c>
    </row>
    <row r="109">
      <c r="A109" s="19" t="n">
        <v>108</v>
      </c>
      <c r="B109" s="19" t="inlineStr">
        <is>
          <t>AI Prompts, GPTs &amp; Automation</t>
        </is>
      </c>
      <c r="C109" s="19" t="inlineStr">
        <is>
          <t>Corporate AI Adoption Toolkit</t>
        </is>
      </c>
      <c r="D109" s="19" t="inlineStr">
        <is>
          <t>AI usage policy, training deck, use-case library and ROI tracker.</t>
        </is>
      </c>
      <c r="E109" s="19" t="inlineStr">
        <is>
          <t>Corporates, CXOs, L&amp;D teams</t>
        </is>
      </c>
      <c r="F109" s="19" t="inlineStr">
        <is>
          <t>One-time</t>
        </is>
      </c>
      <c r="G109" s="28" t="n">
        <v>15000</v>
      </c>
      <c r="H109" s="28" t="n">
        <v>9999</v>
      </c>
      <c r="I109" s="29">
        <f>H109*(1-Assumptions!$B$6)</f>
        <v/>
      </c>
      <c r="J109" s="30">
        <f>IF(I109&gt;0,CEILING(G109/I109,1),0)</f>
        <v/>
      </c>
      <c r="K109" s="30">
        <f>IF(H109&gt;0,CEILING(Assumptions!$B$4/H109,1),0)</f>
        <v/>
      </c>
      <c r="L109" s="30">
        <f>IF(H109&gt;0,CEILING(Assumptions!$B$5/H109,1),0)</f>
        <v/>
      </c>
      <c r="M109" s="29">
        <f>Assumptions!$B$4*(1-Assumptions!$B$6)-G109</f>
        <v/>
      </c>
      <c r="N109" s="29">
        <f>Assumptions!$B$5*(1-Assumptions!$B$6)-G109</f>
        <v/>
      </c>
      <c r="O109" s="19" t="inlineStr">
        <is>
          <t>ChatGPT/Claude/Gemini, Custom GPTs, Zapier/Make/n8n, Notion for delivery</t>
        </is>
      </c>
      <c r="P109" s="19" t="inlineStr">
        <is>
          <t>Own website, Gumroad, PromptBase, LinkedIn, YouTube tutorials, direct B2B</t>
        </is>
      </c>
    </row>
    <row r="110">
      <c r="A110" s="24" t="n">
        <v>109</v>
      </c>
      <c r="B110" s="24" t="inlineStr">
        <is>
          <t>Design Assets &amp; Graphics</t>
        </is>
      </c>
      <c r="C110" s="24" t="inlineStr">
        <is>
          <t>Canva Social Media Template Pack (300)</t>
        </is>
      </c>
      <c r="D110" s="24" t="inlineStr">
        <is>
          <t>Editable posts, stories and carousels by industry.</t>
        </is>
      </c>
      <c r="E110" s="24" t="inlineStr">
        <is>
          <t>Small businesses, social media managers</t>
        </is>
      </c>
      <c r="F110" s="24" t="inlineStr">
        <is>
          <t>One-time</t>
        </is>
      </c>
      <c r="G110" s="25" t="n">
        <v>5000</v>
      </c>
      <c r="H110" s="25" t="n">
        <v>499</v>
      </c>
      <c r="I110" s="26">
        <f>H110*(1-Assumptions!$B$6)</f>
        <v/>
      </c>
      <c r="J110" s="27">
        <f>IF(I110&gt;0,CEILING(G110/I110,1),0)</f>
        <v/>
      </c>
      <c r="K110" s="27">
        <f>IF(H110&gt;0,CEILING(Assumptions!$B$4/H110,1),0)</f>
        <v/>
      </c>
      <c r="L110" s="27">
        <f>IF(H110&gt;0,CEILING(Assumptions!$B$5/H110,1),0)</f>
        <v/>
      </c>
      <c r="M110" s="26">
        <f>Assumptions!$B$4*(1-Assumptions!$B$6)-G110</f>
        <v/>
      </c>
      <c r="N110" s="26">
        <f>Assumptions!$B$5*(1-Assumptions!$B$6)-G110</f>
        <v/>
      </c>
      <c r="O110" s="24" t="inlineStr">
        <is>
          <t>Canva Pro, Figma, Adobe Illustrator/Photoshop, AI image tools</t>
        </is>
      </c>
      <c r="P110" s="24" t="inlineStr">
        <is>
          <t>Own website, Etsy, Creative Market, Canva Creators, Instagram, Behance</t>
        </is>
      </c>
    </row>
    <row r="111">
      <c r="A111" s="19" t="n">
        <v>110</v>
      </c>
      <c r="B111" s="19" t="inlineStr">
        <is>
          <t>Design Assets &amp; Graphics</t>
        </is>
      </c>
      <c r="C111" s="19" t="inlineStr">
        <is>
          <t>Business Card &amp; Letterhead Templates</t>
        </is>
      </c>
      <c r="D111" s="19" t="inlineStr">
        <is>
          <t>Professional stationery sets in multiple styles.</t>
        </is>
      </c>
      <c r="E111" s="19" t="inlineStr">
        <is>
          <t>New businesses, freelancers</t>
        </is>
      </c>
      <c r="F111" s="19" t="inlineStr">
        <is>
          <t>One-time</t>
        </is>
      </c>
      <c r="G111" s="28" t="n">
        <v>2000</v>
      </c>
      <c r="H111" s="28" t="n">
        <v>299</v>
      </c>
      <c r="I111" s="29">
        <f>H111*(1-Assumptions!$B$6)</f>
        <v/>
      </c>
      <c r="J111" s="30">
        <f>IF(I111&gt;0,CEILING(G111/I111,1),0)</f>
        <v/>
      </c>
      <c r="K111" s="30">
        <f>IF(H111&gt;0,CEILING(Assumptions!$B$4/H111,1),0)</f>
        <v/>
      </c>
      <c r="L111" s="30">
        <f>IF(H111&gt;0,CEILING(Assumptions!$B$5/H111,1),0)</f>
        <v/>
      </c>
      <c r="M111" s="29">
        <f>Assumptions!$B$4*(1-Assumptions!$B$6)-G111</f>
        <v/>
      </c>
      <c r="N111" s="29">
        <f>Assumptions!$B$5*(1-Assumptions!$B$6)-G111</f>
        <v/>
      </c>
      <c r="O111" s="19" t="inlineStr">
        <is>
          <t>Canva Pro, Figma, Adobe Illustrator/Photoshop, AI image tools</t>
        </is>
      </c>
      <c r="P111" s="19" t="inlineStr">
        <is>
          <t>Own website, Etsy, Creative Market, Canva Creators, Instagram, Behance</t>
        </is>
      </c>
    </row>
    <row r="112">
      <c r="A112" s="24" t="n">
        <v>111</v>
      </c>
      <c r="B112" s="24" t="inlineStr">
        <is>
          <t>Design Assets &amp; Graphics</t>
        </is>
      </c>
      <c r="C112" s="24" t="inlineStr">
        <is>
          <t>Editable Logo Template Kit</t>
        </is>
      </c>
      <c r="D112" s="24" t="inlineStr">
        <is>
          <t>50 customisable logos for common industries.</t>
        </is>
      </c>
      <c r="E112" s="24" t="inlineStr">
        <is>
          <t>Startups, small businesses</t>
        </is>
      </c>
      <c r="F112" s="24" t="inlineStr">
        <is>
          <t>One-time</t>
        </is>
      </c>
      <c r="G112" s="25" t="n">
        <v>4000</v>
      </c>
      <c r="H112" s="25" t="n">
        <v>799</v>
      </c>
      <c r="I112" s="26">
        <f>H112*(1-Assumptions!$B$6)</f>
        <v/>
      </c>
      <c r="J112" s="27">
        <f>IF(I112&gt;0,CEILING(G112/I112,1),0)</f>
        <v/>
      </c>
      <c r="K112" s="27">
        <f>IF(H112&gt;0,CEILING(Assumptions!$B$4/H112,1),0)</f>
        <v/>
      </c>
      <c r="L112" s="27">
        <f>IF(H112&gt;0,CEILING(Assumptions!$B$5/H112,1),0)</f>
        <v/>
      </c>
      <c r="M112" s="26">
        <f>Assumptions!$B$4*(1-Assumptions!$B$6)-G112</f>
        <v/>
      </c>
      <c r="N112" s="26">
        <f>Assumptions!$B$5*(1-Assumptions!$B$6)-G112</f>
        <v/>
      </c>
      <c r="O112" s="24" t="inlineStr">
        <is>
          <t>Canva Pro, Figma, Adobe Illustrator/Photoshop, AI image tools</t>
        </is>
      </c>
      <c r="P112" s="24" t="inlineStr">
        <is>
          <t>Own website, Etsy, Creative Market, Canva Creators, Instagram, Behance</t>
        </is>
      </c>
    </row>
    <row r="113">
      <c r="A113" s="19" t="n">
        <v>112</v>
      </c>
      <c r="B113" s="19" t="inlineStr">
        <is>
          <t>Design Assets &amp; Graphics</t>
        </is>
      </c>
      <c r="C113" s="19" t="inlineStr">
        <is>
          <t>Corporate PowerPoint Template Pack</t>
        </is>
      </c>
      <c r="D113" s="19" t="inlineStr">
        <is>
          <t>Pitch, report, and training slide masters with charts and icons.</t>
        </is>
      </c>
      <c r="E113" s="19" t="inlineStr">
        <is>
          <t>Corporate employees, consultants</t>
        </is>
      </c>
      <c r="F113" s="19" t="inlineStr">
        <is>
          <t>One-time</t>
        </is>
      </c>
      <c r="G113" s="28" t="n">
        <v>6000</v>
      </c>
      <c r="H113" s="28" t="n">
        <v>999</v>
      </c>
      <c r="I113" s="29">
        <f>H113*(1-Assumptions!$B$6)</f>
        <v/>
      </c>
      <c r="J113" s="30">
        <f>IF(I113&gt;0,CEILING(G113/I113,1),0)</f>
        <v/>
      </c>
      <c r="K113" s="30">
        <f>IF(H113&gt;0,CEILING(Assumptions!$B$4/H113,1),0)</f>
        <v/>
      </c>
      <c r="L113" s="30">
        <f>IF(H113&gt;0,CEILING(Assumptions!$B$5/H113,1),0)</f>
        <v/>
      </c>
      <c r="M113" s="29">
        <f>Assumptions!$B$4*(1-Assumptions!$B$6)-G113</f>
        <v/>
      </c>
      <c r="N113" s="29">
        <f>Assumptions!$B$5*(1-Assumptions!$B$6)-G113</f>
        <v/>
      </c>
      <c r="O113" s="19" t="inlineStr">
        <is>
          <t>Canva Pro, Figma, Adobe Illustrator/Photoshop, AI image tools</t>
        </is>
      </c>
      <c r="P113" s="19" t="inlineStr">
        <is>
          <t>Own website, Etsy, Creative Market, Canva Creators, Instagram, Behance</t>
        </is>
      </c>
    </row>
    <row r="114">
      <c r="A114" s="24" t="n">
        <v>113</v>
      </c>
      <c r="B114" s="24" t="inlineStr">
        <is>
          <t>Design Assets &amp; Graphics</t>
        </is>
      </c>
      <c r="C114" s="24" t="inlineStr">
        <is>
          <t>Digital Wedding Invitation Templates (Video + PDF)</t>
        </is>
      </c>
      <c r="D114" s="24" t="inlineStr">
        <is>
          <t>Editable e-invites and WhatsApp-ready video invitations.</t>
        </is>
      </c>
      <c r="E114" s="24" t="inlineStr">
        <is>
          <t>Couples, printers, event planners</t>
        </is>
      </c>
      <c r="F114" s="24" t="inlineStr">
        <is>
          <t>One-time</t>
        </is>
      </c>
      <c r="G114" s="25" t="n">
        <v>5000</v>
      </c>
      <c r="H114" s="25" t="n">
        <v>499</v>
      </c>
      <c r="I114" s="26">
        <f>H114*(1-Assumptions!$B$6)</f>
        <v/>
      </c>
      <c r="J114" s="27">
        <f>IF(I114&gt;0,CEILING(G114/I114,1),0)</f>
        <v/>
      </c>
      <c r="K114" s="27">
        <f>IF(H114&gt;0,CEILING(Assumptions!$B$4/H114,1),0)</f>
        <v/>
      </c>
      <c r="L114" s="27">
        <f>IF(H114&gt;0,CEILING(Assumptions!$B$5/H114,1),0)</f>
        <v/>
      </c>
      <c r="M114" s="26">
        <f>Assumptions!$B$4*(1-Assumptions!$B$6)-G114</f>
        <v/>
      </c>
      <c r="N114" s="26">
        <f>Assumptions!$B$5*(1-Assumptions!$B$6)-G114</f>
        <v/>
      </c>
      <c r="O114" s="24" t="inlineStr">
        <is>
          <t>Canva Pro, Figma, Adobe Illustrator/Photoshop, AI image tools</t>
        </is>
      </c>
      <c r="P114" s="24" t="inlineStr">
        <is>
          <t>Own website, Etsy, Creative Market, Canva Creators, Instagram, Behance</t>
        </is>
      </c>
    </row>
    <row r="115">
      <c r="A115" s="19" t="n">
        <v>114</v>
      </c>
      <c r="B115" s="19" t="inlineStr">
        <is>
          <t>Design Assets &amp; Graphics</t>
        </is>
      </c>
      <c r="C115" s="19" t="inlineStr">
        <is>
          <t>365-Day Festival Greeting Post Pack</t>
        </is>
      </c>
      <c r="D115" s="19" t="inlineStr">
        <is>
          <t>Diwali, Holi, Eid, Christmas, national days - ready for a business logo.</t>
        </is>
      </c>
      <c r="E115" s="19" t="inlineStr">
        <is>
          <t>Local businesses, CA/insurance agents</t>
        </is>
      </c>
      <c r="F115" s="19" t="inlineStr">
        <is>
          <t>One-time</t>
        </is>
      </c>
      <c r="G115" s="28" t="n">
        <v>5000</v>
      </c>
      <c r="H115" s="28" t="n">
        <v>599</v>
      </c>
      <c r="I115" s="29">
        <f>H115*(1-Assumptions!$B$6)</f>
        <v/>
      </c>
      <c r="J115" s="30">
        <f>IF(I115&gt;0,CEILING(G115/I115,1),0)</f>
        <v/>
      </c>
      <c r="K115" s="30">
        <f>IF(H115&gt;0,CEILING(Assumptions!$B$4/H115,1),0)</f>
        <v/>
      </c>
      <c r="L115" s="30">
        <f>IF(H115&gt;0,CEILING(Assumptions!$B$5/H115,1),0)</f>
        <v/>
      </c>
      <c r="M115" s="29">
        <f>Assumptions!$B$4*(1-Assumptions!$B$6)-G115</f>
        <v/>
      </c>
      <c r="N115" s="29">
        <f>Assumptions!$B$5*(1-Assumptions!$B$6)-G115</f>
        <v/>
      </c>
      <c r="O115" s="19" t="inlineStr">
        <is>
          <t>Canva Pro, Figma, Adobe Illustrator/Photoshop, AI image tools</t>
        </is>
      </c>
      <c r="P115" s="19" t="inlineStr">
        <is>
          <t>Own website, Etsy, Creative Market, Canva Creators, Instagram, Behance</t>
        </is>
      </c>
    </row>
    <row r="116">
      <c r="A116" s="24" t="n">
        <v>115</v>
      </c>
      <c r="B116" s="24" t="inlineStr">
        <is>
          <t>Design Assets &amp; Graphics</t>
        </is>
      </c>
      <c r="C116" s="24" t="inlineStr">
        <is>
          <t>Icon Pack &amp; Illustration Set</t>
        </is>
      </c>
      <c r="D116" s="24" t="inlineStr">
        <is>
          <t>Consistent icons/illustrations in SVG/PNG for web and apps.</t>
        </is>
      </c>
      <c r="E116" s="24" t="inlineStr">
        <is>
          <t>Designers, developers</t>
        </is>
      </c>
      <c r="F116" s="24" t="inlineStr">
        <is>
          <t>One-time</t>
        </is>
      </c>
      <c r="G116" s="25" t="n">
        <v>8000</v>
      </c>
      <c r="H116" s="25" t="n">
        <v>999</v>
      </c>
      <c r="I116" s="26">
        <f>H116*(1-Assumptions!$B$6)</f>
        <v/>
      </c>
      <c r="J116" s="27">
        <f>IF(I116&gt;0,CEILING(G116/I116,1),0)</f>
        <v/>
      </c>
      <c r="K116" s="27">
        <f>IF(H116&gt;0,CEILING(Assumptions!$B$4/H116,1),0)</f>
        <v/>
      </c>
      <c r="L116" s="27">
        <f>IF(H116&gt;0,CEILING(Assumptions!$B$5/H116,1),0)</f>
        <v/>
      </c>
      <c r="M116" s="26">
        <f>Assumptions!$B$4*(1-Assumptions!$B$6)-G116</f>
        <v/>
      </c>
      <c r="N116" s="26">
        <f>Assumptions!$B$5*(1-Assumptions!$B$6)-G116</f>
        <v/>
      </c>
      <c r="O116" s="24" t="inlineStr">
        <is>
          <t>Canva Pro, Figma, Adobe Illustrator/Photoshop, AI image tools</t>
        </is>
      </c>
      <c r="P116" s="24" t="inlineStr">
        <is>
          <t>Own website, Etsy, Creative Market, Canva Creators, Instagram, Behance</t>
        </is>
      </c>
    </row>
    <row r="117">
      <c r="A117" s="19" t="n">
        <v>116</v>
      </c>
      <c r="B117" s="19" t="inlineStr">
        <is>
          <t>Design Assets &amp; Graphics</t>
        </is>
      </c>
      <c r="C117" s="19" t="inlineStr">
        <is>
          <t>Product Mockup Templates</t>
        </is>
      </c>
      <c r="D117" s="19" t="inlineStr">
        <is>
          <t>T-shirt, packaging, mug and device mockups (PSD/Canva).</t>
        </is>
      </c>
      <c r="E117" s="19" t="inlineStr">
        <is>
          <t>Merch sellers, designers</t>
        </is>
      </c>
      <c r="F117" s="19" t="inlineStr">
        <is>
          <t>One-time</t>
        </is>
      </c>
      <c r="G117" s="28" t="n">
        <v>5000</v>
      </c>
      <c r="H117" s="28" t="n">
        <v>799</v>
      </c>
      <c r="I117" s="29">
        <f>H117*(1-Assumptions!$B$6)</f>
        <v/>
      </c>
      <c r="J117" s="30">
        <f>IF(I117&gt;0,CEILING(G117/I117,1),0)</f>
        <v/>
      </c>
      <c r="K117" s="30">
        <f>IF(H117&gt;0,CEILING(Assumptions!$B$4/H117,1),0)</f>
        <v/>
      </c>
      <c r="L117" s="30">
        <f>IF(H117&gt;0,CEILING(Assumptions!$B$5/H117,1),0)</f>
        <v/>
      </c>
      <c r="M117" s="29">
        <f>Assumptions!$B$4*(1-Assumptions!$B$6)-G117</f>
        <v/>
      </c>
      <c r="N117" s="29">
        <f>Assumptions!$B$5*(1-Assumptions!$B$6)-G117</f>
        <v/>
      </c>
      <c r="O117" s="19" t="inlineStr">
        <is>
          <t>Canva Pro, Figma, Adobe Illustrator/Photoshop, AI image tools</t>
        </is>
      </c>
      <c r="P117" s="19" t="inlineStr">
        <is>
          <t>Own website, Etsy, Creative Market, Canva Creators, Instagram, Behance</t>
        </is>
      </c>
    </row>
    <row r="118">
      <c r="A118" s="24" t="n">
        <v>117</v>
      </c>
      <c r="B118" s="24" t="inlineStr">
        <is>
          <t>Design Assets &amp; Graphics</t>
        </is>
      </c>
      <c r="C118" s="24" t="inlineStr">
        <is>
          <t>ATS-friendly Resume Templates</t>
        </is>
      </c>
      <c r="D118" s="24" t="inlineStr">
        <is>
          <t>Clean Word/Canva resumes that pass applicant-tracking systems.</t>
        </is>
      </c>
      <c r="E118" s="24" t="inlineStr">
        <is>
          <t>Job seekers</t>
        </is>
      </c>
      <c r="F118" s="24" t="inlineStr">
        <is>
          <t>One-time</t>
        </is>
      </c>
      <c r="G118" s="25" t="n">
        <v>2000</v>
      </c>
      <c r="H118" s="25" t="n">
        <v>199</v>
      </c>
      <c r="I118" s="26">
        <f>H118*(1-Assumptions!$B$6)</f>
        <v/>
      </c>
      <c r="J118" s="27">
        <f>IF(I118&gt;0,CEILING(G118/I118,1),0)</f>
        <v/>
      </c>
      <c r="K118" s="27">
        <f>IF(H118&gt;0,CEILING(Assumptions!$B$4/H118,1),0)</f>
        <v/>
      </c>
      <c r="L118" s="27">
        <f>IF(H118&gt;0,CEILING(Assumptions!$B$5/H118,1),0)</f>
        <v/>
      </c>
      <c r="M118" s="26">
        <f>Assumptions!$B$4*(1-Assumptions!$B$6)-G118</f>
        <v/>
      </c>
      <c r="N118" s="26">
        <f>Assumptions!$B$5*(1-Assumptions!$B$6)-G118</f>
        <v/>
      </c>
      <c r="O118" s="24" t="inlineStr">
        <is>
          <t>Canva Pro, Figma, Adobe Illustrator/Photoshop, AI image tools</t>
        </is>
      </c>
      <c r="P118" s="24" t="inlineStr">
        <is>
          <t>Own website, Etsy, Creative Market, Canva Creators, Instagram, Behance</t>
        </is>
      </c>
    </row>
    <row r="119">
      <c r="A119" s="19" t="n">
        <v>118</v>
      </c>
      <c r="B119" s="19" t="inlineStr">
        <is>
          <t>Design Assets &amp; Graphics</t>
        </is>
      </c>
      <c r="C119" s="19" t="inlineStr">
        <is>
          <t>Real Estate Marketing Creatives Pack</t>
        </is>
      </c>
      <c r="D119" s="19" t="inlineStr">
        <is>
          <t>Property posts, brochures and flyer templates.</t>
        </is>
      </c>
      <c r="E119" s="19" t="inlineStr">
        <is>
          <t>Real-estate agents, builders</t>
        </is>
      </c>
      <c r="F119" s="19" t="inlineStr">
        <is>
          <t>One-time</t>
        </is>
      </c>
      <c r="G119" s="28" t="n">
        <v>4000</v>
      </c>
      <c r="H119" s="28" t="n">
        <v>999</v>
      </c>
      <c r="I119" s="29">
        <f>H119*(1-Assumptions!$B$6)</f>
        <v/>
      </c>
      <c r="J119" s="30">
        <f>IF(I119&gt;0,CEILING(G119/I119,1),0)</f>
        <v/>
      </c>
      <c r="K119" s="30">
        <f>IF(H119&gt;0,CEILING(Assumptions!$B$4/H119,1),0)</f>
        <v/>
      </c>
      <c r="L119" s="30">
        <f>IF(H119&gt;0,CEILING(Assumptions!$B$5/H119,1),0)</f>
        <v/>
      </c>
      <c r="M119" s="29">
        <f>Assumptions!$B$4*(1-Assumptions!$B$6)-G119</f>
        <v/>
      </c>
      <c r="N119" s="29">
        <f>Assumptions!$B$5*(1-Assumptions!$B$6)-G119</f>
        <v/>
      </c>
      <c r="O119" s="19" t="inlineStr">
        <is>
          <t>Canva Pro, Figma, Adobe Illustrator/Photoshop, AI image tools</t>
        </is>
      </c>
      <c r="P119" s="19" t="inlineStr">
        <is>
          <t>Own website, Etsy, Creative Market, Canva Creators, Instagram, Behance</t>
        </is>
      </c>
    </row>
    <row r="120">
      <c r="A120" s="24" t="n">
        <v>119</v>
      </c>
      <c r="B120" s="24" t="inlineStr">
        <is>
          <t>Design Assets &amp; Graphics</t>
        </is>
      </c>
      <c r="C120" s="24" t="inlineStr">
        <is>
          <t>Restaurant Menu Templates</t>
        </is>
      </c>
      <c r="D120" s="24" t="inlineStr">
        <is>
          <t>Printable and digital menus in many cuisines/styles.</t>
        </is>
      </c>
      <c r="E120" s="24" t="inlineStr">
        <is>
          <t>Restaurants, cafés, cloud kitchens</t>
        </is>
      </c>
      <c r="F120" s="24" t="inlineStr">
        <is>
          <t>One-time</t>
        </is>
      </c>
      <c r="G120" s="25" t="n">
        <v>3000</v>
      </c>
      <c r="H120" s="25" t="n">
        <v>499</v>
      </c>
      <c r="I120" s="26">
        <f>H120*(1-Assumptions!$B$6)</f>
        <v/>
      </c>
      <c r="J120" s="27">
        <f>IF(I120&gt;0,CEILING(G120/I120,1),0)</f>
        <v/>
      </c>
      <c r="K120" s="27">
        <f>IF(H120&gt;0,CEILING(Assumptions!$B$4/H120,1),0)</f>
        <v/>
      </c>
      <c r="L120" s="27">
        <f>IF(H120&gt;0,CEILING(Assumptions!$B$5/H120,1),0)</f>
        <v/>
      </c>
      <c r="M120" s="26">
        <f>Assumptions!$B$4*(1-Assumptions!$B$6)-G120</f>
        <v/>
      </c>
      <c r="N120" s="26">
        <f>Assumptions!$B$5*(1-Assumptions!$B$6)-G120</f>
        <v/>
      </c>
      <c r="O120" s="24" t="inlineStr">
        <is>
          <t>Canva Pro, Figma, Adobe Illustrator/Photoshop, AI image tools</t>
        </is>
      </c>
      <c r="P120" s="24" t="inlineStr">
        <is>
          <t>Own website, Etsy, Creative Market, Canva Creators, Instagram, Behance</t>
        </is>
      </c>
    </row>
    <row r="121">
      <c r="A121" s="19" t="n">
        <v>120</v>
      </c>
      <c r="B121" s="19" t="inlineStr">
        <is>
          <t>Design Assets &amp; Graphics</t>
        </is>
      </c>
      <c r="C121" s="19" t="inlineStr">
        <is>
          <t>Printable Wall Art &amp; Posters</t>
        </is>
      </c>
      <c r="D121" s="19" t="inlineStr">
        <is>
          <t>Motivational, spiritual and minimalist art prints.</t>
        </is>
      </c>
      <c r="E121" s="19" t="inlineStr">
        <is>
          <t>Home decor buyers, offices</t>
        </is>
      </c>
      <c r="F121" s="19" t="inlineStr">
        <is>
          <t>One-time</t>
        </is>
      </c>
      <c r="G121" s="28" t="n">
        <v>3000</v>
      </c>
      <c r="H121" s="28" t="n">
        <v>149</v>
      </c>
      <c r="I121" s="29">
        <f>H121*(1-Assumptions!$B$6)</f>
        <v/>
      </c>
      <c r="J121" s="30">
        <f>IF(I121&gt;0,CEILING(G121/I121,1),0)</f>
        <v/>
      </c>
      <c r="K121" s="30">
        <f>IF(H121&gt;0,CEILING(Assumptions!$B$4/H121,1),0)</f>
        <v/>
      </c>
      <c r="L121" s="30">
        <f>IF(H121&gt;0,CEILING(Assumptions!$B$5/H121,1),0)</f>
        <v/>
      </c>
      <c r="M121" s="29">
        <f>Assumptions!$B$4*(1-Assumptions!$B$6)-G121</f>
        <v/>
      </c>
      <c r="N121" s="29">
        <f>Assumptions!$B$5*(1-Assumptions!$B$6)-G121</f>
        <v/>
      </c>
      <c r="O121" s="19" t="inlineStr">
        <is>
          <t>Canva Pro, Figma, Adobe Illustrator/Photoshop, AI image tools</t>
        </is>
      </c>
      <c r="P121" s="19" t="inlineStr">
        <is>
          <t>Own website, Etsy, Creative Market, Canva Creators, Instagram, Behance</t>
        </is>
      </c>
    </row>
    <row r="122">
      <c r="A122" s="24" t="n">
        <v>121</v>
      </c>
      <c r="B122" s="24" t="inlineStr">
        <is>
          <t>Design Assets &amp; Graphics</t>
        </is>
      </c>
      <c r="C122" s="24" t="inlineStr">
        <is>
          <t>Figma UI Kit (Dashboard / App)</t>
        </is>
      </c>
      <c r="D122" s="24" t="inlineStr">
        <is>
          <t>Reusable components and screens for web/mobile apps.</t>
        </is>
      </c>
      <c r="E122" s="24" t="inlineStr">
        <is>
          <t>UI/UX designers, startups</t>
        </is>
      </c>
      <c r="F122" s="24" t="inlineStr">
        <is>
          <t>One-time</t>
        </is>
      </c>
      <c r="G122" s="25" t="n">
        <v>10000</v>
      </c>
      <c r="H122" s="25" t="n">
        <v>2499</v>
      </c>
      <c r="I122" s="26">
        <f>H122*(1-Assumptions!$B$6)</f>
        <v/>
      </c>
      <c r="J122" s="27">
        <f>IF(I122&gt;0,CEILING(G122/I122,1),0)</f>
        <v/>
      </c>
      <c r="K122" s="27">
        <f>IF(H122&gt;0,CEILING(Assumptions!$B$4/H122,1),0)</f>
        <v/>
      </c>
      <c r="L122" s="27">
        <f>IF(H122&gt;0,CEILING(Assumptions!$B$5/H122,1),0)</f>
        <v/>
      </c>
      <c r="M122" s="26">
        <f>Assumptions!$B$4*(1-Assumptions!$B$6)-G122</f>
        <v/>
      </c>
      <c r="N122" s="26">
        <f>Assumptions!$B$5*(1-Assumptions!$B$6)-G122</f>
        <v/>
      </c>
      <c r="O122" s="24" t="inlineStr">
        <is>
          <t>Canva Pro, Figma, Adobe Illustrator/Photoshop, AI image tools</t>
        </is>
      </c>
      <c r="P122" s="24" t="inlineStr">
        <is>
          <t>Own website, Etsy, Creative Market, Canva Creators, Instagram, Behance</t>
        </is>
      </c>
    </row>
    <row r="123">
      <c r="A123" s="19" t="n">
        <v>122</v>
      </c>
      <c r="B123" s="19" t="inlineStr">
        <is>
          <t>Design Assets &amp; Graphics</t>
        </is>
      </c>
      <c r="C123" s="19" t="inlineStr">
        <is>
          <t>Brand Identity &amp; Guidelines Kit</t>
        </is>
      </c>
      <c r="D123" s="19" t="inlineStr">
        <is>
          <t>Brand book template: logo usage, colours, typography, tone.</t>
        </is>
      </c>
      <c r="E123" s="19" t="inlineStr">
        <is>
          <t>Startups, design freelancers</t>
        </is>
      </c>
      <c r="F123" s="19" t="inlineStr">
        <is>
          <t>One-time</t>
        </is>
      </c>
      <c r="G123" s="28" t="n">
        <v>5000</v>
      </c>
      <c r="H123" s="28" t="n">
        <v>1499</v>
      </c>
      <c r="I123" s="29">
        <f>H123*(1-Assumptions!$B$6)</f>
        <v/>
      </c>
      <c r="J123" s="30">
        <f>IF(I123&gt;0,CEILING(G123/I123,1),0)</f>
        <v/>
      </c>
      <c r="K123" s="30">
        <f>IF(H123&gt;0,CEILING(Assumptions!$B$4/H123,1),0)</f>
        <v/>
      </c>
      <c r="L123" s="30">
        <f>IF(H123&gt;0,CEILING(Assumptions!$B$5/H123,1),0)</f>
        <v/>
      </c>
      <c r="M123" s="29">
        <f>Assumptions!$B$4*(1-Assumptions!$B$6)-G123</f>
        <v/>
      </c>
      <c r="N123" s="29">
        <f>Assumptions!$B$5*(1-Assumptions!$B$6)-G123</f>
        <v/>
      </c>
      <c r="O123" s="19" t="inlineStr">
        <is>
          <t>Canva Pro, Figma, Adobe Illustrator/Photoshop, AI image tools</t>
        </is>
      </c>
      <c r="P123" s="19" t="inlineStr">
        <is>
          <t>Own website, Etsy, Creative Market, Canva Creators, Instagram, Behance</t>
        </is>
      </c>
    </row>
    <row r="124">
      <c r="A124" s="24" t="n">
        <v>123</v>
      </c>
      <c r="B124" s="24" t="inlineStr">
        <is>
          <t>Design Assets &amp; Graphics</t>
        </is>
      </c>
      <c r="C124" s="24" t="inlineStr">
        <is>
          <t>YouTube Thumbnail Templates</t>
        </is>
      </c>
      <c r="D124" s="24" t="inlineStr">
        <is>
          <t>High-CTR thumbnail layouts for different niches.</t>
        </is>
      </c>
      <c r="E124" s="24" t="inlineStr">
        <is>
          <t>YouTubers</t>
        </is>
      </c>
      <c r="F124" s="24" t="inlineStr">
        <is>
          <t>One-time</t>
        </is>
      </c>
      <c r="G124" s="25" t="n">
        <v>2000</v>
      </c>
      <c r="H124" s="25" t="n">
        <v>399</v>
      </c>
      <c r="I124" s="26">
        <f>H124*(1-Assumptions!$B$6)</f>
        <v/>
      </c>
      <c r="J124" s="27">
        <f>IF(I124&gt;0,CEILING(G124/I124,1),0)</f>
        <v/>
      </c>
      <c r="K124" s="27">
        <f>IF(H124&gt;0,CEILING(Assumptions!$B$4/H124,1),0)</f>
        <v/>
      </c>
      <c r="L124" s="27">
        <f>IF(H124&gt;0,CEILING(Assumptions!$B$5/H124,1),0)</f>
        <v/>
      </c>
      <c r="M124" s="26">
        <f>Assumptions!$B$4*(1-Assumptions!$B$6)-G124</f>
        <v/>
      </c>
      <c r="N124" s="26">
        <f>Assumptions!$B$5*(1-Assumptions!$B$6)-G124</f>
        <v/>
      </c>
      <c r="O124" s="24" t="inlineStr">
        <is>
          <t>Canva Pro, Figma, Adobe Illustrator/Photoshop, AI image tools</t>
        </is>
      </c>
      <c r="P124" s="24" t="inlineStr">
        <is>
          <t>Own website, Etsy, Creative Market, Canva Creators, Instagram, Behance</t>
        </is>
      </c>
    </row>
    <row r="125">
      <c r="A125" s="19" t="n">
        <v>124</v>
      </c>
      <c r="B125" s="19" t="inlineStr">
        <is>
          <t>Design Assets &amp; Graphics</t>
        </is>
      </c>
      <c r="C125" s="19" t="inlineStr">
        <is>
          <t>Amazon A+ &amp; Listing Image Templates</t>
        </is>
      </c>
      <c r="D125" s="19" t="inlineStr">
        <is>
          <t>Infographic and lifestyle listing templates for marketplaces.</t>
        </is>
      </c>
      <c r="E125" s="19" t="inlineStr">
        <is>
          <t>Marketplace sellers</t>
        </is>
      </c>
      <c r="F125" s="19" t="inlineStr">
        <is>
          <t>One-time</t>
        </is>
      </c>
      <c r="G125" s="28" t="n">
        <v>4000</v>
      </c>
      <c r="H125" s="28" t="n">
        <v>999</v>
      </c>
      <c r="I125" s="29">
        <f>H125*(1-Assumptions!$B$6)</f>
        <v/>
      </c>
      <c r="J125" s="30">
        <f>IF(I125&gt;0,CEILING(G125/I125,1),0)</f>
        <v/>
      </c>
      <c r="K125" s="30">
        <f>IF(H125&gt;0,CEILING(Assumptions!$B$4/H125,1),0)</f>
        <v/>
      </c>
      <c r="L125" s="30">
        <f>IF(H125&gt;0,CEILING(Assumptions!$B$5/H125,1),0)</f>
        <v/>
      </c>
      <c r="M125" s="29">
        <f>Assumptions!$B$4*(1-Assumptions!$B$6)-G125</f>
        <v/>
      </c>
      <c r="N125" s="29">
        <f>Assumptions!$B$5*(1-Assumptions!$B$6)-G125</f>
        <v/>
      </c>
      <c r="O125" s="19" t="inlineStr">
        <is>
          <t>Canva Pro, Figma, Adobe Illustrator/Photoshop, AI image tools</t>
        </is>
      </c>
      <c r="P125" s="19" t="inlineStr">
        <is>
          <t>Own website, Etsy, Creative Market, Canva Creators, Instagram, Behance</t>
        </is>
      </c>
    </row>
    <row r="126">
      <c r="A126" s="24" t="n">
        <v>125</v>
      </c>
      <c r="B126" s="24" t="inlineStr">
        <is>
          <t>Design Assets &amp; Graphics</t>
        </is>
      </c>
      <c r="C126" s="24" t="inlineStr">
        <is>
          <t>Corporate Infographic Templates</t>
        </is>
      </c>
      <c r="D126" s="24" t="inlineStr">
        <is>
          <t>Timelines, process flows, org charts and data visuals.</t>
        </is>
      </c>
      <c r="E126" s="24" t="inlineStr">
        <is>
          <t>Corporates, trainers, consultants</t>
        </is>
      </c>
      <c r="F126" s="24" t="inlineStr">
        <is>
          <t>One-time</t>
        </is>
      </c>
      <c r="G126" s="25" t="n">
        <v>4000</v>
      </c>
      <c r="H126" s="25" t="n">
        <v>999</v>
      </c>
      <c r="I126" s="26">
        <f>H126*(1-Assumptions!$B$6)</f>
        <v/>
      </c>
      <c r="J126" s="27">
        <f>IF(I126&gt;0,CEILING(G126/I126,1),0)</f>
        <v/>
      </c>
      <c r="K126" s="27">
        <f>IF(H126&gt;0,CEILING(Assumptions!$B$4/H126,1),0)</f>
        <v/>
      </c>
      <c r="L126" s="27">
        <f>IF(H126&gt;0,CEILING(Assumptions!$B$5/H126,1),0)</f>
        <v/>
      </c>
      <c r="M126" s="26">
        <f>Assumptions!$B$4*(1-Assumptions!$B$6)-G126</f>
        <v/>
      </c>
      <c r="N126" s="26">
        <f>Assumptions!$B$5*(1-Assumptions!$B$6)-G126</f>
        <v/>
      </c>
      <c r="O126" s="24" t="inlineStr">
        <is>
          <t>Canva Pro, Figma, Adobe Illustrator/Photoshop, AI image tools</t>
        </is>
      </c>
      <c r="P126" s="24" t="inlineStr">
        <is>
          <t>Own website, Etsy, Creative Market, Canva Creators, Instagram, Behance</t>
        </is>
      </c>
    </row>
    <row r="127">
      <c r="A127" s="19" t="n">
        <v>126</v>
      </c>
      <c r="B127" s="19" t="inlineStr">
        <is>
          <t>Design Assets &amp; Graphics</t>
        </is>
      </c>
      <c r="C127" s="19" t="inlineStr">
        <is>
          <t>Digital Planner &amp; Stickers (GoodNotes)</t>
        </is>
      </c>
      <c r="D127" s="19" t="inlineStr">
        <is>
          <t>Hyperlinked iPad planners and digital sticker packs.</t>
        </is>
      </c>
      <c r="E127" s="19" t="inlineStr">
        <is>
          <t>Students, journaling enthusiasts</t>
        </is>
      </c>
      <c r="F127" s="19" t="inlineStr">
        <is>
          <t>One-time</t>
        </is>
      </c>
      <c r="G127" s="28" t="n">
        <v>3000</v>
      </c>
      <c r="H127" s="28" t="n">
        <v>299</v>
      </c>
      <c r="I127" s="29">
        <f>H127*(1-Assumptions!$B$6)</f>
        <v/>
      </c>
      <c r="J127" s="30">
        <f>IF(I127&gt;0,CEILING(G127/I127,1),0)</f>
        <v/>
      </c>
      <c r="K127" s="30">
        <f>IF(H127&gt;0,CEILING(Assumptions!$B$4/H127,1),0)</f>
        <v/>
      </c>
      <c r="L127" s="30">
        <f>IF(H127&gt;0,CEILING(Assumptions!$B$5/H127,1),0)</f>
        <v/>
      </c>
      <c r="M127" s="29">
        <f>Assumptions!$B$4*(1-Assumptions!$B$6)-G127</f>
        <v/>
      </c>
      <c r="N127" s="29">
        <f>Assumptions!$B$5*(1-Assumptions!$B$6)-G127</f>
        <v/>
      </c>
      <c r="O127" s="19" t="inlineStr">
        <is>
          <t>Canva Pro, Figma, Adobe Illustrator/Photoshop, AI image tools</t>
        </is>
      </c>
      <c r="P127" s="19" t="inlineStr">
        <is>
          <t>Own website, Etsy, Creative Market, Canva Creators, Instagram, Behance</t>
        </is>
      </c>
    </row>
    <row r="128">
      <c r="A128" s="24" t="n">
        <v>127</v>
      </c>
      <c r="B128" s="24" t="inlineStr">
        <is>
          <t>Marketing &amp; Social Media Kits</t>
        </is>
      </c>
      <c r="C128" s="24" t="inlineStr">
        <is>
          <t>Instagram Reel Hook Library (500 Hooks)</t>
        </is>
      </c>
      <c r="D128" s="24" t="inlineStr">
        <is>
          <t>Proven opening lines sorted by niche and goal.</t>
        </is>
      </c>
      <c r="E128" s="24" t="inlineStr">
        <is>
          <t>Creators, marketers</t>
        </is>
      </c>
      <c r="F128" s="24" t="inlineStr">
        <is>
          <t>One-time</t>
        </is>
      </c>
      <c r="G128" s="25" t="n">
        <v>1500</v>
      </c>
      <c r="H128" s="25" t="n">
        <v>199</v>
      </c>
      <c r="I128" s="26">
        <f>H128*(1-Assumptions!$B$6)</f>
        <v/>
      </c>
      <c r="J128" s="27">
        <f>IF(I128&gt;0,CEILING(G128/I128,1),0)</f>
        <v/>
      </c>
      <c r="K128" s="27">
        <f>IF(H128&gt;0,CEILING(Assumptions!$B$4/H128,1),0)</f>
        <v/>
      </c>
      <c r="L128" s="27">
        <f>IF(H128&gt;0,CEILING(Assumptions!$B$5/H128,1),0)</f>
        <v/>
      </c>
      <c r="M128" s="26">
        <f>Assumptions!$B$4*(1-Assumptions!$B$6)-G128</f>
        <v/>
      </c>
      <c r="N128" s="26">
        <f>Assumptions!$B$5*(1-Assumptions!$B$6)-G128</f>
        <v/>
      </c>
      <c r="O128" s="24" t="inlineStr">
        <is>
          <t>Canva, ChatGPT/Claude for copy, Google Docs, Meta/Google Ads managers</t>
        </is>
      </c>
      <c r="P128" s="24" t="inlineStr">
        <is>
          <t>Own website, Instagram, LinkedIn, industry WhatsApp groups, associations (IMA, CREDAI etc.)</t>
        </is>
      </c>
    </row>
    <row r="129">
      <c r="A129" s="19" t="n">
        <v>128</v>
      </c>
      <c r="B129" s="19" t="inlineStr">
        <is>
          <t>Marketing &amp; Social Media Kits</t>
        </is>
      </c>
      <c r="C129" s="19" t="inlineStr">
        <is>
          <t>30-Day Social Media Kit for Doctors</t>
        </is>
      </c>
      <c r="D129" s="19" t="inlineStr">
        <is>
          <t>Done-for-you posts, captions and reels ideas for clinics (compliant with medical ethics).</t>
        </is>
      </c>
      <c r="E129" s="19" t="inlineStr">
        <is>
          <t>Doctors, dentists, clinics</t>
        </is>
      </c>
      <c r="F129" s="19" t="inlineStr">
        <is>
          <t>One-time</t>
        </is>
      </c>
      <c r="G129" s="28" t="n">
        <v>5000</v>
      </c>
      <c r="H129" s="28" t="n">
        <v>1999</v>
      </c>
      <c r="I129" s="29">
        <f>H129*(1-Assumptions!$B$6)</f>
        <v/>
      </c>
      <c r="J129" s="30">
        <f>IF(I129&gt;0,CEILING(G129/I129,1),0)</f>
        <v/>
      </c>
      <c r="K129" s="30">
        <f>IF(H129&gt;0,CEILING(Assumptions!$B$4/H129,1),0)</f>
        <v/>
      </c>
      <c r="L129" s="30">
        <f>IF(H129&gt;0,CEILING(Assumptions!$B$5/H129,1),0)</f>
        <v/>
      </c>
      <c r="M129" s="29">
        <f>Assumptions!$B$4*(1-Assumptions!$B$6)-G129</f>
        <v/>
      </c>
      <c r="N129" s="29">
        <f>Assumptions!$B$5*(1-Assumptions!$B$6)-G129</f>
        <v/>
      </c>
      <c r="O129" s="19" t="inlineStr">
        <is>
          <t>Canva, ChatGPT/Claude for copy, Google Docs, Meta/Google Ads managers</t>
        </is>
      </c>
      <c r="P129" s="19" t="inlineStr">
        <is>
          <t>Own website, Instagram, LinkedIn, industry WhatsApp groups, associations (IMA, CREDAI etc.)</t>
        </is>
      </c>
    </row>
    <row r="130">
      <c r="A130" s="24" t="n">
        <v>129</v>
      </c>
      <c r="B130" s="24" t="inlineStr">
        <is>
          <t>Marketing &amp; Social Media Kits</t>
        </is>
      </c>
      <c r="C130" s="24" t="inlineStr">
        <is>
          <t>30-Day Social Media Kit for Gyms</t>
        </is>
      </c>
      <c r="D130" s="24" t="inlineStr">
        <is>
          <t>Posts, offers, transformation templates and captions.</t>
        </is>
      </c>
      <c r="E130" s="24" t="inlineStr">
        <is>
          <t>Gym &amp; fitness studio owners</t>
        </is>
      </c>
      <c r="F130" s="24" t="inlineStr">
        <is>
          <t>One-time</t>
        </is>
      </c>
      <c r="G130" s="25" t="n">
        <v>5000</v>
      </c>
      <c r="H130" s="25" t="n">
        <v>1499</v>
      </c>
      <c r="I130" s="26">
        <f>H130*(1-Assumptions!$B$6)</f>
        <v/>
      </c>
      <c r="J130" s="27">
        <f>IF(I130&gt;0,CEILING(G130/I130,1),0)</f>
        <v/>
      </c>
      <c r="K130" s="27">
        <f>IF(H130&gt;0,CEILING(Assumptions!$B$4/H130,1),0)</f>
        <v/>
      </c>
      <c r="L130" s="27">
        <f>IF(H130&gt;0,CEILING(Assumptions!$B$5/H130,1),0)</f>
        <v/>
      </c>
      <c r="M130" s="26">
        <f>Assumptions!$B$4*(1-Assumptions!$B$6)-G130</f>
        <v/>
      </c>
      <c r="N130" s="26">
        <f>Assumptions!$B$5*(1-Assumptions!$B$6)-G130</f>
        <v/>
      </c>
      <c r="O130" s="24" t="inlineStr">
        <is>
          <t>Canva, ChatGPT/Claude for copy, Google Docs, Meta/Google Ads managers</t>
        </is>
      </c>
      <c r="P130" s="24" t="inlineStr">
        <is>
          <t>Own website, Instagram, LinkedIn, industry WhatsApp groups, associations (IMA, CREDAI etc.)</t>
        </is>
      </c>
    </row>
    <row r="131">
      <c r="A131" s="19" t="n">
        <v>130</v>
      </c>
      <c r="B131" s="19" t="inlineStr">
        <is>
          <t>Marketing &amp; Social Media Kits</t>
        </is>
      </c>
      <c r="C131" s="19" t="inlineStr">
        <is>
          <t>30-Day Social Media Kit for Real Estate</t>
        </is>
      </c>
      <c r="D131" s="19" t="inlineStr">
        <is>
          <t>Listing posts, market-update templates and lead-gen captions.</t>
        </is>
      </c>
      <c r="E131" s="19" t="inlineStr">
        <is>
          <t>Real-estate agents</t>
        </is>
      </c>
      <c r="F131" s="19" t="inlineStr">
        <is>
          <t>One-time</t>
        </is>
      </c>
      <c r="G131" s="28" t="n">
        <v>5000</v>
      </c>
      <c r="H131" s="28" t="n">
        <v>1999</v>
      </c>
      <c r="I131" s="29">
        <f>H131*(1-Assumptions!$B$6)</f>
        <v/>
      </c>
      <c r="J131" s="30">
        <f>IF(I131&gt;0,CEILING(G131/I131,1),0)</f>
        <v/>
      </c>
      <c r="K131" s="30">
        <f>IF(H131&gt;0,CEILING(Assumptions!$B$4/H131,1),0)</f>
        <v/>
      </c>
      <c r="L131" s="30">
        <f>IF(H131&gt;0,CEILING(Assumptions!$B$5/H131,1),0)</f>
        <v/>
      </c>
      <c r="M131" s="29">
        <f>Assumptions!$B$4*(1-Assumptions!$B$6)-G131</f>
        <v/>
      </c>
      <c r="N131" s="29">
        <f>Assumptions!$B$5*(1-Assumptions!$B$6)-G131</f>
        <v/>
      </c>
      <c r="O131" s="19" t="inlineStr">
        <is>
          <t>Canva, ChatGPT/Claude for copy, Google Docs, Meta/Google Ads managers</t>
        </is>
      </c>
      <c r="P131" s="19" t="inlineStr">
        <is>
          <t>Own website, Instagram, LinkedIn, industry WhatsApp groups, associations (IMA, CREDAI etc.)</t>
        </is>
      </c>
    </row>
    <row r="132">
      <c r="A132" s="24" t="n">
        <v>131</v>
      </c>
      <c r="B132" s="24" t="inlineStr">
        <is>
          <t>Marketing &amp; Social Media Kits</t>
        </is>
      </c>
      <c r="C132" s="24" t="inlineStr">
        <is>
          <t>LinkedIn Content Playbook for Founders</t>
        </is>
      </c>
      <c r="D132" s="24" t="inlineStr">
        <is>
          <t>Post frameworks, 90-day calendar and profile optimisation.</t>
        </is>
      </c>
      <c r="E132" s="24" t="inlineStr">
        <is>
          <t>Founders, consultants</t>
        </is>
      </c>
      <c r="F132" s="24" t="inlineStr">
        <is>
          <t>One-time</t>
        </is>
      </c>
      <c r="G132" s="25" t="n">
        <v>3000</v>
      </c>
      <c r="H132" s="25" t="n">
        <v>999</v>
      </c>
      <c r="I132" s="26">
        <f>H132*(1-Assumptions!$B$6)</f>
        <v/>
      </c>
      <c r="J132" s="27">
        <f>IF(I132&gt;0,CEILING(G132/I132,1),0)</f>
        <v/>
      </c>
      <c r="K132" s="27">
        <f>IF(H132&gt;0,CEILING(Assumptions!$B$4/H132,1),0)</f>
        <v/>
      </c>
      <c r="L132" s="27">
        <f>IF(H132&gt;0,CEILING(Assumptions!$B$5/H132,1),0)</f>
        <v/>
      </c>
      <c r="M132" s="26">
        <f>Assumptions!$B$4*(1-Assumptions!$B$6)-G132</f>
        <v/>
      </c>
      <c r="N132" s="26">
        <f>Assumptions!$B$5*(1-Assumptions!$B$6)-G132</f>
        <v/>
      </c>
      <c r="O132" s="24" t="inlineStr">
        <is>
          <t>Canva, ChatGPT/Claude for copy, Google Docs, Meta/Google Ads managers</t>
        </is>
      </c>
      <c r="P132" s="24" t="inlineStr">
        <is>
          <t>Own website, Instagram, LinkedIn, industry WhatsApp groups, associations (IMA, CREDAI etc.)</t>
        </is>
      </c>
    </row>
    <row r="133">
      <c r="A133" s="19" t="n">
        <v>132</v>
      </c>
      <c r="B133" s="19" t="inlineStr">
        <is>
          <t>Marketing &amp; Social Media Kits</t>
        </is>
      </c>
      <c r="C133" s="19" t="inlineStr">
        <is>
          <t>Local SEO &amp; Google Business Profile Kit</t>
        </is>
      </c>
      <c r="D133" s="19" t="inlineStr">
        <is>
          <t>Setup checklist, review-generation scripts, post templates.</t>
        </is>
      </c>
      <c r="E133" s="19" t="inlineStr">
        <is>
          <t>Local businesses</t>
        </is>
      </c>
      <c r="F133" s="19" t="inlineStr">
        <is>
          <t>One-time</t>
        </is>
      </c>
      <c r="G133" s="28" t="n">
        <v>3000</v>
      </c>
      <c r="H133" s="28" t="n">
        <v>999</v>
      </c>
      <c r="I133" s="29">
        <f>H133*(1-Assumptions!$B$6)</f>
        <v/>
      </c>
      <c r="J133" s="30">
        <f>IF(I133&gt;0,CEILING(G133/I133,1),0)</f>
        <v/>
      </c>
      <c r="K133" s="30">
        <f>IF(H133&gt;0,CEILING(Assumptions!$B$4/H133,1),0)</f>
        <v/>
      </c>
      <c r="L133" s="30">
        <f>IF(H133&gt;0,CEILING(Assumptions!$B$5/H133,1),0)</f>
        <v/>
      </c>
      <c r="M133" s="29">
        <f>Assumptions!$B$4*(1-Assumptions!$B$6)-G133</f>
        <v/>
      </c>
      <c r="N133" s="29">
        <f>Assumptions!$B$5*(1-Assumptions!$B$6)-G133</f>
        <v/>
      </c>
      <c r="O133" s="19" t="inlineStr">
        <is>
          <t>Canva, ChatGPT/Claude for copy, Google Docs, Meta/Google Ads managers</t>
        </is>
      </c>
      <c r="P133" s="19" t="inlineStr">
        <is>
          <t>Own website, Instagram, LinkedIn, industry WhatsApp groups, associations (IMA, CREDAI etc.)</t>
        </is>
      </c>
    </row>
    <row r="134">
      <c r="A134" s="24" t="n">
        <v>133</v>
      </c>
      <c r="B134" s="24" t="inlineStr">
        <is>
          <t>Marketing &amp; Social Media Kits</t>
        </is>
      </c>
      <c r="C134" s="24" t="inlineStr">
        <is>
          <t>Meta Ads Templates &amp; Audience Playbook</t>
        </is>
      </c>
      <c r="D134" s="24" t="inlineStr">
        <is>
          <t>Campaign structures, ad copies and targeting ideas by industry.</t>
        </is>
      </c>
      <c r="E134" s="24" t="inlineStr">
        <is>
          <t>Business owners, freelancers</t>
        </is>
      </c>
      <c r="F134" s="24" t="inlineStr">
        <is>
          <t>One-time</t>
        </is>
      </c>
      <c r="G134" s="25" t="n">
        <v>4000</v>
      </c>
      <c r="H134" s="25" t="n">
        <v>1499</v>
      </c>
      <c r="I134" s="26">
        <f>H134*(1-Assumptions!$B$6)</f>
        <v/>
      </c>
      <c r="J134" s="27">
        <f>IF(I134&gt;0,CEILING(G134/I134,1),0)</f>
        <v/>
      </c>
      <c r="K134" s="27">
        <f>IF(H134&gt;0,CEILING(Assumptions!$B$4/H134,1),0)</f>
        <v/>
      </c>
      <c r="L134" s="27">
        <f>IF(H134&gt;0,CEILING(Assumptions!$B$5/H134,1),0)</f>
        <v/>
      </c>
      <c r="M134" s="26">
        <f>Assumptions!$B$4*(1-Assumptions!$B$6)-G134</f>
        <v/>
      </c>
      <c r="N134" s="26">
        <f>Assumptions!$B$5*(1-Assumptions!$B$6)-G134</f>
        <v/>
      </c>
      <c r="O134" s="24" t="inlineStr">
        <is>
          <t>Canva, ChatGPT/Claude for copy, Google Docs, Meta/Google Ads managers</t>
        </is>
      </c>
      <c r="P134" s="24" t="inlineStr">
        <is>
          <t>Own website, Instagram, LinkedIn, industry WhatsApp groups, associations (IMA, CREDAI etc.)</t>
        </is>
      </c>
    </row>
    <row r="135">
      <c r="A135" s="19" t="n">
        <v>134</v>
      </c>
      <c r="B135" s="19" t="inlineStr">
        <is>
          <t>Marketing &amp; Social Media Kits</t>
        </is>
      </c>
      <c r="C135" s="19" t="inlineStr">
        <is>
          <t>Email Newsletter Templates</t>
        </is>
      </c>
      <c r="D135" s="19" t="inlineStr">
        <is>
          <t>Designed templates plus 52 weekly topic ideas.</t>
        </is>
      </c>
      <c r="E135" s="19" t="inlineStr">
        <is>
          <t>Brands, coaches, creators</t>
        </is>
      </c>
      <c r="F135" s="19" t="inlineStr">
        <is>
          <t>One-time</t>
        </is>
      </c>
      <c r="G135" s="28" t="n">
        <v>3000</v>
      </c>
      <c r="H135" s="28" t="n">
        <v>699</v>
      </c>
      <c r="I135" s="29">
        <f>H135*(1-Assumptions!$B$6)</f>
        <v/>
      </c>
      <c r="J135" s="30">
        <f>IF(I135&gt;0,CEILING(G135/I135,1),0)</f>
        <v/>
      </c>
      <c r="K135" s="30">
        <f>IF(H135&gt;0,CEILING(Assumptions!$B$4/H135,1),0)</f>
        <v/>
      </c>
      <c r="L135" s="30">
        <f>IF(H135&gt;0,CEILING(Assumptions!$B$5/H135,1),0)</f>
        <v/>
      </c>
      <c r="M135" s="29">
        <f>Assumptions!$B$4*(1-Assumptions!$B$6)-G135</f>
        <v/>
      </c>
      <c r="N135" s="29">
        <f>Assumptions!$B$5*(1-Assumptions!$B$6)-G135</f>
        <v/>
      </c>
      <c r="O135" s="19" t="inlineStr">
        <is>
          <t>Canva, ChatGPT/Claude for copy, Google Docs, Meta/Google Ads managers</t>
        </is>
      </c>
      <c r="P135" s="19" t="inlineStr">
        <is>
          <t>Own website, Instagram, LinkedIn, industry WhatsApp groups, associations (IMA, CREDAI etc.)</t>
        </is>
      </c>
    </row>
    <row r="136">
      <c r="A136" s="24" t="n">
        <v>135</v>
      </c>
      <c r="B136" s="24" t="inlineStr">
        <is>
          <t>Marketing &amp; Social Media Kits</t>
        </is>
      </c>
      <c r="C136" s="24" t="inlineStr">
        <is>
          <t>WhatsApp Marketing Message Templates</t>
        </is>
      </c>
      <c r="D136" s="24" t="inlineStr">
        <is>
          <t>Festive offers, reminders, re-engagement and review requests.</t>
        </is>
      </c>
      <c r="E136" s="24" t="inlineStr">
        <is>
          <t>Retailers, service businesses</t>
        </is>
      </c>
      <c r="F136" s="24" t="inlineStr">
        <is>
          <t>One-time</t>
        </is>
      </c>
      <c r="G136" s="25" t="n">
        <v>2000</v>
      </c>
      <c r="H136" s="25" t="n">
        <v>499</v>
      </c>
      <c r="I136" s="26">
        <f>H136*(1-Assumptions!$B$6)</f>
        <v/>
      </c>
      <c r="J136" s="27">
        <f>IF(I136&gt;0,CEILING(G136/I136,1),0)</f>
        <v/>
      </c>
      <c r="K136" s="27">
        <f>IF(H136&gt;0,CEILING(Assumptions!$B$4/H136,1),0)</f>
        <v/>
      </c>
      <c r="L136" s="27">
        <f>IF(H136&gt;0,CEILING(Assumptions!$B$5/H136,1),0)</f>
        <v/>
      </c>
      <c r="M136" s="26">
        <f>Assumptions!$B$4*(1-Assumptions!$B$6)-G136</f>
        <v/>
      </c>
      <c r="N136" s="26">
        <f>Assumptions!$B$5*(1-Assumptions!$B$6)-G136</f>
        <v/>
      </c>
      <c r="O136" s="24" t="inlineStr">
        <is>
          <t>Canva, ChatGPT/Claude for copy, Google Docs, Meta/Google Ads managers</t>
        </is>
      </c>
      <c r="P136" s="24" t="inlineStr">
        <is>
          <t>Own website, Instagram, LinkedIn, industry WhatsApp groups, associations (IMA, CREDAI etc.)</t>
        </is>
      </c>
    </row>
    <row r="137">
      <c r="A137" s="19" t="n">
        <v>136</v>
      </c>
      <c r="B137" s="19" t="inlineStr">
        <is>
          <t>Marketing &amp; Social Media Kits</t>
        </is>
      </c>
      <c r="C137" s="19" t="inlineStr">
        <is>
          <t>Influencer Media Kit &amp; Pitch Pack</t>
        </is>
      </c>
      <c r="D137" s="19" t="inlineStr">
        <is>
          <t>Media-kit template, rate card and brand pitch emails.</t>
        </is>
      </c>
      <c r="E137" s="19" t="inlineStr">
        <is>
          <t>Influencers, creators</t>
        </is>
      </c>
      <c r="F137" s="19" t="inlineStr">
        <is>
          <t>One-time</t>
        </is>
      </c>
      <c r="G137" s="28" t="n">
        <v>2000</v>
      </c>
      <c r="H137" s="28" t="n">
        <v>499</v>
      </c>
      <c r="I137" s="29">
        <f>H137*(1-Assumptions!$B$6)</f>
        <v/>
      </c>
      <c r="J137" s="30">
        <f>IF(I137&gt;0,CEILING(G137/I137,1),0)</f>
        <v/>
      </c>
      <c r="K137" s="30">
        <f>IF(H137&gt;0,CEILING(Assumptions!$B$4/H137,1),0)</f>
        <v/>
      </c>
      <c r="L137" s="30">
        <f>IF(H137&gt;0,CEILING(Assumptions!$B$5/H137,1),0)</f>
        <v/>
      </c>
      <c r="M137" s="29">
        <f>Assumptions!$B$4*(1-Assumptions!$B$6)-G137</f>
        <v/>
      </c>
      <c r="N137" s="29">
        <f>Assumptions!$B$5*(1-Assumptions!$B$6)-G137</f>
        <v/>
      </c>
      <c r="O137" s="19" t="inlineStr">
        <is>
          <t>Canva, ChatGPT/Claude for copy, Google Docs, Meta/Google Ads managers</t>
        </is>
      </c>
      <c r="P137" s="19" t="inlineStr">
        <is>
          <t>Own website, Instagram, LinkedIn, industry WhatsApp groups, associations (IMA, CREDAI etc.)</t>
        </is>
      </c>
    </row>
    <row r="138">
      <c r="A138" s="24" t="n">
        <v>137</v>
      </c>
      <c r="B138" s="24" t="inlineStr">
        <is>
          <t>Marketing &amp; Social Media Kits</t>
        </is>
      </c>
      <c r="C138" s="24" t="inlineStr">
        <is>
          <t>Brand Launch Checklist &amp; Marketing Plan</t>
        </is>
      </c>
      <c r="D138" s="24" t="inlineStr">
        <is>
          <t>90-day launch roadmap with budgets and channel plan.</t>
        </is>
      </c>
      <c r="E138" s="24" t="inlineStr">
        <is>
          <t>New D2C brands, startups</t>
        </is>
      </c>
      <c r="F138" s="24" t="inlineStr">
        <is>
          <t>One-time</t>
        </is>
      </c>
      <c r="G138" s="25" t="n">
        <v>3000</v>
      </c>
      <c r="H138" s="25" t="n">
        <v>799</v>
      </c>
      <c r="I138" s="26">
        <f>H138*(1-Assumptions!$B$6)</f>
        <v/>
      </c>
      <c r="J138" s="27">
        <f>IF(I138&gt;0,CEILING(G138/I138,1),0)</f>
        <v/>
      </c>
      <c r="K138" s="27">
        <f>IF(H138&gt;0,CEILING(Assumptions!$B$4/H138,1),0)</f>
        <v/>
      </c>
      <c r="L138" s="27">
        <f>IF(H138&gt;0,CEILING(Assumptions!$B$5/H138,1),0)</f>
        <v/>
      </c>
      <c r="M138" s="26">
        <f>Assumptions!$B$4*(1-Assumptions!$B$6)-G138</f>
        <v/>
      </c>
      <c r="N138" s="26">
        <f>Assumptions!$B$5*(1-Assumptions!$B$6)-G138</f>
        <v/>
      </c>
      <c r="O138" s="24" t="inlineStr">
        <is>
          <t>Canva, ChatGPT/Claude for copy, Google Docs, Meta/Google Ads managers</t>
        </is>
      </c>
      <c r="P138" s="24" t="inlineStr">
        <is>
          <t>Own website, Instagram, LinkedIn, industry WhatsApp groups, associations (IMA, CREDAI etc.)</t>
        </is>
      </c>
    </row>
    <row r="139">
      <c r="A139" s="19" t="n">
        <v>138</v>
      </c>
      <c r="B139" s="19" t="inlineStr">
        <is>
          <t>Marketing &amp; Social Media Kits</t>
        </is>
      </c>
      <c r="C139" s="19" t="inlineStr">
        <is>
          <t>Landing Page Copy Templates</t>
        </is>
      </c>
      <c r="D139" s="19" t="inlineStr">
        <is>
          <t>Fill-in-the-blank sales-page copy for products and services.</t>
        </is>
      </c>
      <c r="E139" s="19" t="inlineStr">
        <is>
          <t>Coaches, SaaS, course creators</t>
        </is>
      </c>
      <c r="F139" s="19" t="inlineStr">
        <is>
          <t>One-time</t>
        </is>
      </c>
      <c r="G139" s="28" t="n">
        <v>3000</v>
      </c>
      <c r="H139" s="28" t="n">
        <v>999</v>
      </c>
      <c r="I139" s="29">
        <f>H139*(1-Assumptions!$B$6)</f>
        <v/>
      </c>
      <c r="J139" s="30">
        <f>IF(I139&gt;0,CEILING(G139/I139,1),0)</f>
        <v/>
      </c>
      <c r="K139" s="30">
        <f>IF(H139&gt;0,CEILING(Assumptions!$B$4/H139,1),0)</f>
        <v/>
      </c>
      <c r="L139" s="30">
        <f>IF(H139&gt;0,CEILING(Assumptions!$B$5/H139,1),0)</f>
        <v/>
      </c>
      <c r="M139" s="29">
        <f>Assumptions!$B$4*(1-Assumptions!$B$6)-G139</f>
        <v/>
      </c>
      <c r="N139" s="29">
        <f>Assumptions!$B$5*(1-Assumptions!$B$6)-G139</f>
        <v/>
      </c>
      <c r="O139" s="19" t="inlineStr">
        <is>
          <t>Canva, ChatGPT/Claude for copy, Google Docs, Meta/Google Ads managers</t>
        </is>
      </c>
      <c r="P139" s="19" t="inlineStr">
        <is>
          <t>Own website, Instagram, LinkedIn, industry WhatsApp groups, associations (IMA, CREDAI etc.)</t>
        </is>
      </c>
    </row>
    <row r="140">
      <c r="A140" s="24" t="n">
        <v>139</v>
      </c>
      <c r="B140" s="24" t="inlineStr">
        <is>
          <t>Marketing &amp; Social Media Kits</t>
        </is>
      </c>
      <c r="C140" s="24" t="inlineStr">
        <is>
          <t>Marketing Agency Starter Kit</t>
        </is>
      </c>
      <c r="D140" s="24" t="inlineStr">
        <is>
          <t>Proposals, SOPs, pricing sheet, contracts and reporting templates.</t>
        </is>
      </c>
      <c r="E140" s="24" t="inlineStr">
        <is>
          <t>New agency owners, freelancers</t>
        </is>
      </c>
      <c r="F140" s="24" t="inlineStr">
        <is>
          <t>One-time</t>
        </is>
      </c>
      <c r="G140" s="25" t="n">
        <v>8000</v>
      </c>
      <c r="H140" s="25" t="n">
        <v>4999</v>
      </c>
      <c r="I140" s="26">
        <f>H140*(1-Assumptions!$B$6)</f>
        <v/>
      </c>
      <c r="J140" s="27">
        <f>IF(I140&gt;0,CEILING(G140/I140,1),0)</f>
        <v/>
      </c>
      <c r="K140" s="27">
        <f>IF(H140&gt;0,CEILING(Assumptions!$B$4/H140,1),0)</f>
        <v/>
      </c>
      <c r="L140" s="27">
        <f>IF(H140&gt;0,CEILING(Assumptions!$B$5/H140,1),0)</f>
        <v/>
      </c>
      <c r="M140" s="26">
        <f>Assumptions!$B$4*(1-Assumptions!$B$6)-G140</f>
        <v/>
      </c>
      <c r="N140" s="26">
        <f>Assumptions!$B$5*(1-Assumptions!$B$6)-G140</f>
        <v/>
      </c>
      <c r="O140" s="24" t="inlineStr">
        <is>
          <t>Canva, ChatGPT/Claude for copy, Google Docs, Meta/Google Ads managers</t>
        </is>
      </c>
      <c r="P140" s="24" t="inlineStr">
        <is>
          <t>Own website, Instagram, LinkedIn, industry WhatsApp groups, associations (IMA, CREDAI etc.)</t>
        </is>
      </c>
    </row>
    <row r="141">
      <c r="A141" s="19" t="n">
        <v>140</v>
      </c>
      <c r="B141" s="19" t="inlineStr">
        <is>
          <t>Marketing &amp; Social Media Kits</t>
        </is>
      </c>
      <c r="C141" s="19" t="inlineStr">
        <is>
          <t>Google Ads Campaign Templates for Local Business</t>
        </is>
      </c>
      <c r="D141" s="19" t="inlineStr">
        <is>
          <t>Keyword lists, ad groups and ad copy by service type.</t>
        </is>
      </c>
      <c r="E141" s="19" t="inlineStr">
        <is>
          <t>Local businesses, PPC freelancers</t>
        </is>
      </c>
      <c r="F141" s="19" t="inlineStr">
        <is>
          <t>One-time</t>
        </is>
      </c>
      <c r="G141" s="28" t="n">
        <v>4000</v>
      </c>
      <c r="H141" s="28" t="n">
        <v>1499</v>
      </c>
      <c r="I141" s="29">
        <f>H141*(1-Assumptions!$B$6)</f>
        <v/>
      </c>
      <c r="J141" s="30">
        <f>IF(I141&gt;0,CEILING(G141/I141,1),0)</f>
        <v/>
      </c>
      <c r="K141" s="30">
        <f>IF(H141&gt;0,CEILING(Assumptions!$B$4/H141,1),0)</f>
        <v/>
      </c>
      <c r="L141" s="30">
        <f>IF(H141&gt;0,CEILING(Assumptions!$B$5/H141,1),0)</f>
        <v/>
      </c>
      <c r="M141" s="29">
        <f>Assumptions!$B$4*(1-Assumptions!$B$6)-G141</f>
        <v/>
      </c>
      <c r="N141" s="29">
        <f>Assumptions!$B$5*(1-Assumptions!$B$6)-G141</f>
        <v/>
      </c>
      <c r="O141" s="19" t="inlineStr">
        <is>
          <t>Canva, ChatGPT/Claude for copy, Google Docs, Meta/Google Ads managers</t>
        </is>
      </c>
      <c r="P141" s="19" t="inlineStr">
        <is>
          <t>Own website, Instagram, LinkedIn, industry WhatsApp groups, associations (IMA, CREDAI etc.)</t>
        </is>
      </c>
    </row>
    <row r="142">
      <c r="A142" s="24" t="n">
        <v>141</v>
      </c>
      <c r="B142" s="24" t="inlineStr">
        <is>
          <t>Marketing &amp; Social Media Kits</t>
        </is>
      </c>
      <c r="C142" s="24" t="inlineStr">
        <is>
          <t>Podcast Launch Kit</t>
        </is>
      </c>
      <c r="D142" s="24" t="inlineStr">
        <is>
          <t>Show planning, guest outreach, cover art and launch checklist.</t>
        </is>
      </c>
      <c r="E142" s="24" t="inlineStr">
        <is>
          <t>Aspiring podcasters</t>
        </is>
      </c>
      <c r="F142" s="24" t="inlineStr">
        <is>
          <t>One-time</t>
        </is>
      </c>
      <c r="G142" s="25" t="n">
        <v>3000</v>
      </c>
      <c r="H142" s="25" t="n">
        <v>699</v>
      </c>
      <c r="I142" s="26">
        <f>H142*(1-Assumptions!$B$6)</f>
        <v/>
      </c>
      <c r="J142" s="27">
        <f>IF(I142&gt;0,CEILING(G142/I142,1),0)</f>
        <v/>
      </c>
      <c r="K142" s="27">
        <f>IF(H142&gt;0,CEILING(Assumptions!$B$4/H142,1),0)</f>
        <v/>
      </c>
      <c r="L142" s="27">
        <f>IF(H142&gt;0,CEILING(Assumptions!$B$5/H142,1),0)</f>
        <v/>
      </c>
      <c r="M142" s="26">
        <f>Assumptions!$B$4*(1-Assumptions!$B$6)-G142</f>
        <v/>
      </c>
      <c r="N142" s="26">
        <f>Assumptions!$B$5*(1-Assumptions!$B$6)-G142</f>
        <v/>
      </c>
      <c r="O142" s="24" t="inlineStr">
        <is>
          <t>Canva, ChatGPT/Claude for copy, Google Docs, Meta/Google Ads managers</t>
        </is>
      </c>
      <c r="P142" s="24" t="inlineStr">
        <is>
          <t>Own website, Instagram, LinkedIn, industry WhatsApp groups, associations (IMA, CREDAI etc.)</t>
        </is>
      </c>
    </row>
    <row r="143">
      <c r="A143" s="19" t="n">
        <v>142</v>
      </c>
      <c r="B143" s="19" t="inlineStr">
        <is>
          <t>Marketing &amp; Social Media Kits</t>
        </is>
      </c>
      <c r="C143" s="19" t="inlineStr">
        <is>
          <t>Event Promotion Kit</t>
        </is>
      </c>
      <c r="D143" s="19" t="inlineStr">
        <is>
          <t>Countdown posts, email invites and post-event content.</t>
        </is>
      </c>
      <c r="E143" s="19" t="inlineStr">
        <is>
          <t>Event organisers, colleges</t>
        </is>
      </c>
      <c r="F143" s="19" t="inlineStr">
        <is>
          <t>One-time</t>
        </is>
      </c>
      <c r="G143" s="28" t="n">
        <v>3000</v>
      </c>
      <c r="H143" s="28" t="n">
        <v>699</v>
      </c>
      <c r="I143" s="29">
        <f>H143*(1-Assumptions!$B$6)</f>
        <v/>
      </c>
      <c r="J143" s="30">
        <f>IF(I143&gt;0,CEILING(G143/I143,1),0)</f>
        <v/>
      </c>
      <c r="K143" s="30">
        <f>IF(H143&gt;0,CEILING(Assumptions!$B$4/H143,1),0)</f>
        <v/>
      </c>
      <c r="L143" s="30">
        <f>IF(H143&gt;0,CEILING(Assumptions!$B$5/H143,1),0)</f>
        <v/>
      </c>
      <c r="M143" s="29">
        <f>Assumptions!$B$4*(1-Assumptions!$B$6)-G143</f>
        <v/>
      </c>
      <c r="N143" s="29">
        <f>Assumptions!$B$5*(1-Assumptions!$B$6)-G143</f>
        <v/>
      </c>
      <c r="O143" s="19" t="inlineStr">
        <is>
          <t>Canva, ChatGPT/Claude for copy, Google Docs, Meta/Google Ads managers</t>
        </is>
      </c>
      <c r="P143" s="19" t="inlineStr">
        <is>
          <t>Own website, Instagram, LinkedIn, industry WhatsApp groups, associations (IMA, CREDAI etc.)</t>
        </is>
      </c>
    </row>
    <row r="144">
      <c r="A144" s="24" t="n">
        <v>143</v>
      </c>
      <c r="B144" s="24" t="inlineStr">
        <is>
          <t>Marketing &amp; Social Media Kits</t>
        </is>
      </c>
      <c r="C144" s="24" t="inlineStr">
        <is>
          <t>Customer Review &amp; Referral Program Kit</t>
        </is>
      </c>
      <c r="D144" s="24" t="inlineStr">
        <is>
          <t>Scripts, reward structures and tracking sheet.</t>
        </is>
      </c>
      <c r="E144" s="24" t="inlineStr">
        <is>
          <t>Service businesses, clinics</t>
        </is>
      </c>
      <c r="F144" s="24" t="inlineStr">
        <is>
          <t>One-time</t>
        </is>
      </c>
      <c r="G144" s="25" t="n">
        <v>3000</v>
      </c>
      <c r="H144" s="25" t="n">
        <v>999</v>
      </c>
      <c r="I144" s="26">
        <f>H144*(1-Assumptions!$B$6)</f>
        <v/>
      </c>
      <c r="J144" s="27">
        <f>IF(I144&gt;0,CEILING(G144/I144,1),0)</f>
        <v/>
      </c>
      <c r="K144" s="27">
        <f>IF(H144&gt;0,CEILING(Assumptions!$B$4/H144,1),0)</f>
        <v/>
      </c>
      <c r="L144" s="27">
        <f>IF(H144&gt;0,CEILING(Assumptions!$B$5/H144,1),0)</f>
        <v/>
      </c>
      <c r="M144" s="26">
        <f>Assumptions!$B$4*(1-Assumptions!$B$6)-G144</f>
        <v/>
      </c>
      <c r="N144" s="26">
        <f>Assumptions!$B$5*(1-Assumptions!$B$6)-G144</f>
        <v/>
      </c>
      <c r="O144" s="24" t="inlineStr">
        <is>
          <t>Canva, ChatGPT/Claude for copy, Google Docs, Meta/Google Ads managers</t>
        </is>
      </c>
      <c r="P144" s="24" t="inlineStr">
        <is>
          <t>Own website, Instagram, LinkedIn, industry WhatsApp groups, associations (IMA, CREDAI etc.)</t>
        </is>
      </c>
    </row>
    <row r="145">
      <c r="A145" s="19" t="n">
        <v>144</v>
      </c>
      <c r="B145" s="19" t="inlineStr">
        <is>
          <t>Marketing &amp; Social Media Kits</t>
        </is>
      </c>
      <c r="C145" s="19" t="inlineStr">
        <is>
          <t>Monthly Marketing Swipe File Membership</t>
        </is>
      </c>
      <c r="D145" s="19" t="inlineStr">
        <is>
          <t>Fresh ads, hooks, emails and campaign breakdowns every month.</t>
        </is>
      </c>
      <c r="E145" s="19" t="inlineStr">
        <is>
          <t>Marketers, agencies</t>
        </is>
      </c>
      <c r="F145" s="19" t="inlineStr">
        <is>
          <t>Monthly subscription</t>
        </is>
      </c>
      <c r="G145" s="28" t="n">
        <v>5000</v>
      </c>
      <c r="H145" s="28" t="n">
        <v>499</v>
      </c>
      <c r="I145" s="29">
        <f>H145*(1-Assumptions!$B$6)</f>
        <v/>
      </c>
      <c r="J145" s="30">
        <f>IF(I145&gt;0,CEILING(G145/I145,1),0)</f>
        <v/>
      </c>
      <c r="K145" s="30">
        <f>IF(H145&gt;0,CEILING(Assumptions!$B$4/H145,1),0)</f>
        <v/>
      </c>
      <c r="L145" s="30">
        <f>IF(H145&gt;0,CEILING(Assumptions!$B$5/H145,1),0)</f>
        <v/>
      </c>
      <c r="M145" s="29">
        <f>Assumptions!$B$4*(1-Assumptions!$B$6)-G145</f>
        <v/>
      </c>
      <c r="N145" s="29">
        <f>Assumptions!$B$5*(1-Assumptions!$B$6)-G145</f>
        <v/>
      </c>
      <c r="O145" s="19" t="inlineStr">
        <is>
          <t>Canva, ChatGPT/Claude for copy, Google Docs, Meta/Google Ads managers</t>
        </is>
      </c>
      <c r="P145" s="19" t="inlineStr">
        <is>
          <t>Own website, Instagram, LinkedIn, industry WhatsApp groups, associations (IMA, CREDAI etc.)</t>
        </is>
      </c>
    </row>
    <row r="146">
      <c r="A146" s="24" t="n">
        <v>145</v>
      </c>
      <c r="B146" s="24" t="inlineStr">
        <is>
          <t>Education &amp; Exam Prep</t>
        </is>
      </c>
      <c r="C146" s="24" t="inlineStr">
        <is>
          <t>UPSC Prelims Notes &amp; Current Affairs Compilation</t>
        </is>
      </c>
      <c r="D146" s="24" t="inlineStr">
        <is>
          <t>Topic-wise notes plus monthly current-affairs PDFs.</t>
        </is>
      </c>
      <c r="E146" s="24" t="inlineStr">
        <is>
          <t>UPSC / State PSC aspirants</t>
        </is>
      </c>
      <c r="F146" s="24" t="inlineStr">
        <is>
          <t>One-time</t>
        </is>
      </c>
      <c r="G146" s="25" t="n">
        <v>8000</v>
      </c>
      <c r="H146" s="25" t="n">
        <v>999</v>
      </c>
      <c r="I146" s="26">
        <f>H146*(1-Assumptions!$B$6)</f>
        <v/>
      </c>
      <c r="J146" s="27">
        <f>IF(I146&gt;0,CEILING(G146/I146,1),0)</f>
        <v/>
      </c>
      <c r="K146" s="27">
        <f>IF(H146&gt;0,CEILING(Assumptions!$B$4/H146,1),0)</f>
        <v/>
      </c>
      <c r="L146" s="27">
        <f>IF(H146&gt;0,CEILING(Assumptions!$B$5/H146,1),0)</f>
        <v/>
      </c>
      <c r="M146" s="26">
        <f>Assumptions!$B$4*(1-Assumptions!$B$6)-G146</f>
        <v/>
      </c>
      <c r="N146" s="26">
        <f>Assumptions!$B$5*(1-Assumptions!$B$6)-G146</f>
        <v/>
      </c>
      <c r="O146" s="24" t="inlineStr">
        <is>
          <t>Subject expertise, Google Docs/LaTeX, Canva, Testbook-style mock platforms, video tools</t>
        </is>
      </c>
      <c r="P146" s="24" t="inlineStr">
        <is>
          <t>Own website/app, Telegram channels, YouTube, schools &amp; coaching tie-ups, Amazon</t>
        </is>
      </c>
    </row>
    <row r="147">
      <c r="A147" s="19" t="n">
        <v>146</v>
      </c>
      <c r="B147" s="19" t="inlineStr">
        <is>
          <t>Education &amp; Exam Prep</t>
        </is>
      </c>
      <c r="C147" s="19" t="inlineStr">
        <is>
          <t>SSC / Banking Mock Test Series</t>
        </is>
      </c>
      <c r="D147" s="19" t="inlineStr">
        <is>
          <t>Full-length mock tests with solutions and performance analysis.</t>
        </is>
      </c>
      <c r="E147" s="19" t="inlineStr">
        <is>
          <t>SSC, IBPS, SBI aspirants</t>
        </is>
      </c>
      <c r="F147" s="19" t="inlineStr">
        <is>
          <t>One-time</t>
        </is>
      </c>
      <c r="G147" s="28" t="n">
        <v>15000</v>
      </c>
      <c r="H147" s="28" t="n">
        <v>399</v>
      </c>
      <c r="I147" s="29">
        <f>H147*(1-Assumptions!$B$6)</f>
        <v/>
      </c>
      <c r="J147" s="30">
        <f>IF(I147&gt;0,CEILING(G147/I147,1),0)</f>
        <v/>
      </c>
      <c r="K147" s="30">
        <f>IF(H147&gt;0,CEILING(Assumptions!$B$4/H147,1),0)</f>
        <v/>
      </c>
      <c r="L147" s="30">
        <f>IF(H147&gt;0,CEILING(Assumptions!$B$5/H147,1),0)</f>
        <v/>
      </c>
      <c r="M147" s="29">
        <f>Assumptions!$B$4*(1-Assumptions!$B$6)-G147</f>
        <v/>
      </c>
      <c r="N147" s="29">
        <f>Assumptions!$B$5*(1-Assumptions!$B$6)-G147</f>
        <v/>
      </c>
      <c r="O147" s="19" t="inlineStr">
        <is>
          <t>Subject expertise, Google Docs/LaTeX, Canva, Testbook-style mock platforms, video tools</t>
        </is>
      </c>
      <c r="P147" s="19" t="inlineStr">
        <is>
          <t>Own website/app, Telegram channels, YouTube, schools &amp; coaching tie-ups, Amazon</t>
        </is>
      </c>
    </row>
    <row r="148">
      <c r="A148" s="24" t="n">
        <v>147</v>
      </c>
      <c r="B148" s="24" t="inlineStr">
        <is>
          <t>Education &amp; Exam Prep</t>
        </is>
      </c>
      <c r="C148" s="24" t="inlineStr">
        <is>
          <t>JEE / NEET Formula Sheets &amp; Revision Notes</t>
        </is>
      </c>
      <c r="D148" s="24" t="inlineStr">
        <is>
          <t>Chapter-wise formulas and one-page revision sheets.</t>
        </is>
      </c>
      <c r="E148" s="24" t="inlineStr">
        <is>
          <t>Class 11-12 students</t>
        </is>
      </c>
      <c r="F148" s="24" t="inlineStr">
        <is>
          <t>One-time</t>
        </is>
      </c>
      <c r="G148" s="25" t="n">
        <v>6000</v>
      </c>
      <c r="H148" s="25" t="n">
        <v>299</v>
      </c>
      <c r="I148" s="26">
        <f>H148*(1-Assumptions!$B$6)</f>
        <v/>
      </c>
      <c r="J148" s="27">
        <f>IF(I148&gt;0,CEILING(G148/I148,1),0)</f>
        <v/>
      </c>
      <c r="K148" s="27">
        <f>IF(H148&gt;0,CEILING(Assumptions!$B$4/H148,1),0)</f>
        <v/>
      </c>
      <c r="L148" s="27">
        <f>IF(H148&gt;0,CEILING(Assumptions!$B$5/H148,1),0)</f>
        <v/>
      </c>
      <c r="M148" s="26">
        <f>Assumptions!$B$4*(1-Assumptions!$B$6)-G148</f>
        <v/>
      </c>
      <c r="N148" s="26">
        <f>Assumptions!$B$5*(1-Assumptions!$B$6)-G148</f>
        <v/>
      </c>
      <c r="O148" s="24" t="inlineStr">
        <is>
          <t>Subject expertise, Google Docs/LaTeX, Canva, Testbook-style mock platforms, video tools</t>
        </is>
      </c>
      <c r="P148" s="24" t="inlineStr">
        <is>
          <t>Own website/app, Telegram channels, YouTube, schools &amp; coaching tie-ups, Amazon</t>
        </is>
      </c>
    </row>
    <row r="149">
      <c r="A149" s="19" t="n">
        <v>148</v>
      </c>
      <c r="B149" s="19" t="inlineStr">
        <is>
          <t>Education &amp; Exam Prep</t>
        </is>
      </c>
      <c r="C149" s="19" t="inlineStr">
        <is>
          <t>CA Foundation / Inter Summary Notes</t>
        </is>
      </c>
      <c r="D149" s="19" t="inlineStr">
        <is>
          <t>Condensed notes, charts and past-paper questions.</t>
        </is>
      </c>
      <c r="E149" s="19" t="inlineStr">
        <is>
          <t>CA students</t>
        </is>
      </c>
      <c r="F149" s="19" t="inlineStr">
        <is>
          <t>One-time</t>
        </is>
      </c>
      <c r="G149" s="28" t="n">
        <v>8000</v>
      </c>
      <c r="H149" s="28" t="n">
        <v>699</v>
      </c>
      <c r="I149" s="29">
        <f>H149*(1-Assumptions!$B$6)</f>
        <v/>
      </c>
      <c r="J149" s="30">
        <f>IF(I149&gt;0,CEILING(G149/I149,1),0)</f>
        <v/>
      </c>
      <c r="K149" s="30">
        <f>IF(H149&gt;0,CEILING(Assumptions!$B$4/H149,1),0)</f>
        <v/>
      </c>
      <c r="L149" s="30">
        <f>IF(H149&gt;0,CEILING(Assumptions!$B$5/H149,1),0)</f>
        <v/>
      </c>
      <c r="M149" s="29">
        <f>Assumptions!$B$4*(1-Assumptions!$B$6)-G149</f>
        <v/>
      </c>
      <c r="N149" s="29">
        <f>Assumptions!$B$5*(1-Assumptions!$B$6)-G149</f>
        <v/>
      </c>
      <c r="O149" s="19" t="inlineStr">
        <is>
          <t>Subject expertise, Google Docs/LaTeX, Canva, Testbook-style mock platforms, video tools</t>
        </is>
      </c>
      <c r="P149" s="19" t="inlineStr">
        <is>
          <t>Own website/app, Telegram channels, YouTube, schools &amp; coaching tie-ups, Amazon</t>
        </is>
      </c>
    </row>
    <row r="150">
      <c r="A150" s="24" t="n">
        <v>149</v>
      </c>
      <c r="B150" s="24" t="inlineStr">
        <is>
          <t>Education &amp; Exam Prep</t>
        </is>
      </c>
      <c r="C150" s="24" t="inlineStr">
        <is>
          <t>CBSE Class 10/12 Question Banks</t>
        </is>
      </c>
      <c r="D150" s="24" t="inlineStr">
        <is>
          <t>Chapter-wise questions with marking-scheme answers.</t>
        </is>
      </c>
      <c r="E150" s="24" t="inlineStr">
        <is>
          <t>CBSE students, parents</t>
        </is>
      </c>
      <c r="F150" s="24" t="inlineStr">
        <is>
          <t>One-time</t>
        </is>
      </c>
      <c r="G150" s="25" t="n">
        <v>8000</v>
      </c>
      <c r="H150" s="25" t="n">
        <v>299</v>
      </c>
      <c r="I150" s="26">
        <f>H150*(1-Assumptions!$B$6)</f>
        <v/>
      </c>
      <c r="J150" s="27">
        <f>IF(I150&gt;0,CEILING(G150/I150,1),0)</f>
        <v/>
      </c>
      <c r="K150" s="27">
        <f>IF(H150&gt;0,CEILING(Assumptions!$B$4/H150,1),0)</f>
        <v/>
      </c>
      <c r="L150" s="27">
        <f>IF(H150&gt;0,CEILING(Assumptions!$B$5/H150,1),0)</f>
        <v/>
      </c>
      <c r="M150" s="26">
        <f>Assumptions!$B$4*(1-Assumptions!$B$6)-G150</f>
        <v/>
      </c>
      <c r="N150" s="26">
        <f>Assumptions!$B$5*(1-Assumptions!$B$6)-G150</f>
        <v/>
      </c>
      <c r="O150" s="24" t="inlineStr">
        <is>
          <t>Subject expertise, Google Docs/LaTeX, Canva, Testbook-style mock platforms, video tools</t>
        </is>
      </c>
      <c r="P150" s="24" t="inlineStr">
        <is>
          <t>Own website/app, Telegram channels, YouTube, schools &amp; coaching tie-ups, Amazon</t>
        </is>
      </c>
    </row>
    <row r="151">
      <c r="A151" s="19" t="n">
        <v>150</v>
      </c>
      <c r="B151" s="19" t="inlineStr">
        <is>
          <t>Education &amp; Exam Prep</t>
        </is>
      </c>
      <c r="C151" s="19" t="inlineStr">
        <is>
          <t>IELTS Preparation Kit</t>
        </is>
      </c>
      <c r="D151" s="19" t="inlineStr">
        <is>
          <t>Band-8 sample answers, vocabulary and speaking prompts.</t>
        </is>
      </c>
      <c r="E151" s="19" t="inlineStr">
        <is>
          <t>Study-abroad and immigration aspirants</t>
        </is>
      </c>
      <c r="F151" s="19" t="inlineStr">
        <is>
          <t>One-time</t>
        </is>
      </c>
      <c r="G151" s="28" t="n">
        <v>8000</v>
      </c>
      <c r="H151" s="28" t="n">
        <v>999</v>
      </c>
      <c r="I151" s="29">
        <f>H151*(1-Assumptions!$B$6)</f>
        <v/>
      </c>
      <c r="J151" s="30">
        <f>IF(I151&gt;0,CEILING(G151/I151,1),0)</f>
        <v/>
      </c>
      <c r="K151" s="30">
        <f>IF(H151&gt;0,CEILING(Assumptions!$B$4/H151,1),0)</f>
        <v/>
      </c>
      <c r="L151" s="30">
        <f>IF(H151&gt;0,CEILING(Assumptions!$B$5/H151,1),0)</f>
        <v/>
      </c>
      <c r="M151" s="29">
        <f>Assumptions!$B$4*(1-Assumptions!$B$6)-G151</f>
        <v/>
      </c>
      <c r="N151" s="29">
        <f>Assumptions!$B$5*(1-Assumptions!$B$6)-G151</f>
        <v/>
      </c>
      <c r="O151" s="19" t="inlineStr">
        <is>
          <t>Subject expertise, Google Docs/LaTeX, Canva, Testbook-style mock platforms, video tools</t>
        </is>
      </c>
      <c r="P151" s="19" t="inlineStr">
        <is>
          <t>Own website/app, Telegram channels, YouTube, schools &amp; coaching tie-ups, Amazon</t>
        </is>
      </c>
    </row>
    <row r="152">
      <c r="A152" s="24" t="n">
        <v>151</v>
      </c>
      <c r="B152" s="24" t="inlineStr">
        <is>
          <t>Education &amp; Exam Prep</t>
        </is>
      </c>
      <c r="C152" s="24" t="inlineStr">
        <is>
          <t>Kids Phonics &amp; Reading Worksheets</t>
        </is>
      </c>
      <c r="D152" s="24" t="inlineStr">
        <is>
          <t>Graded phonics sheets, flashcards and reading passages.</t>
        </is>
      </c>
      <c r="E152" s="24" t="inlineStr">
        <is>
          <t>Parents, preschools</t>
        </is>
      </c>
      <c r="F152" s="24" t="inlineStr">
        <is>
          <t>One-time</t>
        </is>
      </c>
      <c r="G152" s="25" t="n">
        <v>4000</v>
      </c>
      <c r="H152" s="25" t="n">
        <v>299</v>
      </c>
      <c r="I152" s="26">
        <f>H152*(1-Assumptions!$B$6)</f>
        <v/>
      </c>
      <c r="J152" s="27">
        <f>IF(I152&gt;0,CEILING(G152/I152,1),0)</f>
        <v/>
      </c>
      <c r="K152" s="27">
        <f>IF(H152&gt;0,CEILING(Assumptions!$B$4/H152,1),0)</f>
        <v/>
      </c>
      <c r="L152" s="27">
        <f>IF(H152&gt;0,CEILING(Assumptions!$B$5/H152,1),0)</f>
        <v/>
      </c>
      <c r="M152" s="26">
        <f>Assumptions!$B$4*(1-Assumptions!$B$6)-G152</f>
        <v/>
      </c>
      <c r="N152" s="26">
        <f>Assumptions!$B$5*(1-Assumptions!$B$6)-G152</f>
        <v/>
      </c>
      <c r="O152" s="24" t="inlineStr">
        <is>
          <t>Subject expertise, Google Docs/LaTeX, Canva, Testbook-style mock platforms, video tools</t>
        </is>
      </c>
      <c r="P152" s="24" t="inlineStr">
        <is>
          <t>Own website/app, Telegram channels, YouTube, schools &amp; coaching tie-ups, Amazon</t>
        </is>
      </c>
    </row>
    <row r="153">
      <c r="A153" s="19" t="n">
        <v>152</v>
      </c>
      <c r="B153" s="19" t="inlineStr">
        <is>
          <t>Education &amp; Exam Prep</t>
        </is>
      </c>
      <c r="C153" s="19" t="inlineStr">
        <is>
          <t>Montessori Activity Printables</t>
        </is>
      </c>
      <c r="D153" s="19" t="inlineStr">
        <is>
          <t>Age-wise hands-on activity cards and trackers.</t>
        </is>
      </c>
      <c r="E153" s="19" t="inlineStr">
        <is>
          <t>Parents, playschools</t>
        </is>
      </c>
      <c r="F153" s="19" t="inlineStr">
        <is>
          <t>One-time</t>
        </is>
      </c>
      <c r="G153" s="28" t="n">
        <v>4000</v>
      </c>
      <c r="H153" s="28" t="n">
        <v>399</v>
      </c>
      <c r="I153" s="29">
        <f>H153*(1-Assumptions!$B$6)</f>
        <v/>
      </c>
      <c r="J153" s="30">
        <f>IF(I153&gt;0,CEILING(G153/I153,1),0)</f>
        <v/>
      </c>
      <c r="K153" s="30">
        <f>IF(H153&gt;0,CEILING(Assumptions!$B$4/H153,1),0)</f>
        <v/>
      </c>
      <c r="L153" s="30">
        <f>IF(H153&gt;0,CEILING(Assumptions!$B$5/H153,1),0)</f>
        <v/>
      </c>
      <c r="M153" s="29">
        <f>Assumptions!$B$4*(1-Assumptions!$B$6)-G153</f>
        <v/>
      </c>
      <c r="N153" s="29">
        <f>Assumptions!$B$5*(1-Assumptions!$B$6)-G153</f>
        <v/>
      </c>
      <c r="O153" s="19" t="inlineStr">
        <is>
          <t>Subject expertise, Google Docs/LaTeX, Canva, Testbook-style mock platforms, video tools</t>
        </is>
      </c>
      <c r="P153" s="19" t="inlineStr">
        <is>
          <t>Own website/app, Telegram channels, YouTube, schools &amp; coaching tie-ups, Amazon</t>
        </is>
      </c>
    </row>
    <row r="154">
      <c r="A154" s="24" t="n">
        <v>153</v>
      </c>
      <c r="B154" s="24" t="inlineStr">
        <is>
          <t>Education &amp; Exam Prep</t>
        </is>
      </c>
      <c r="C154" s="24" t="inlineStr">
        <is>
          <t>Teacher Lesson Plan Bundle (NEP 2020 aligned)</t>
        </is>
      </c>
      <c r="D154" s="24" t="inlineStr">
        <is>
          <t>Ready lesson plans, activities and assessment rubrics.</t>
        </is>
      </c>
      <c r="E154" s="24" t="inlineStr">
        <is>
          <t>School teachers, schools</t>
        </is>
      </c>
      <c r="F154" s="24" t="inlineStr">
        <is>
          <t>One-time</t>
        </is>
      </c>
      <c r="G154" s="25" t="n">
        <v>6000</v>
      </c>
      <c r="H154" s="25" t="n">
        <v>599</v>
      </c>
      <c r="I154" s="26">
        <f>H154*(1-Assumptions!$B$6)</f>
        <v/>
      </c>
      <c r="J154" s="27">
        <f>IF(I154&gt;0,CEILING(G154/I154,1),0)</f>
        <v/>
      </c>
      <c r="K154" s="27">
        <f>IF(H154&gt;0,CEILING(Assumptions!$B$4/H154,1),0)</f>
        <v/>
      </c>
      <c r="L154" s="27">
        <f>IF(H154&gt;0,CEILING(Assumptions!$B$5/H154,1),0)</f>
        <v/>
      </c>
      <c r="M154" s="26">
        <f>Assumptions!$B$4*(1-Assumptions!$B$6)-G154</f>
        <v/>
      </c>
      <c r="N154" s="26">
        <f>Assumptions!$B$5*(1-Assumptions!$B$6)-G154</f>
        <v/>
      </c>
      <c r="O154" s="24" t="inlineStr">
        <is>
          <t>Subject expertise, Google Docs/LaTeX, Canva, Testbook-style mock platforms, video tools</t>
        </is>
      </c>
      <c r="P154" s="24" t="inlineStr">
        <is>
          <t>Own website/app, Telegram channels, YouTube, schools &amp; coaching tie-ups, Amazon</t>
        </is>
      </c>
    </row>
    <row r="155">
      <c r="A155" s="19" t="n">
        <v>154</v>
      </c>
      <c r="B155" s="19" t="inlineStr">
        <is>
          <t>Education &amp; Exam Prep</t>
        </is>
      </c>
      <c r="C155" s="19" t="inlineStr">
        <is>
          <t>Coding for Kids (Scratch) - Videos + Worksheets</t>
        </is>
      </c>
      <c r="D155" s="19" t="inlineStr">
        <is>
          <t>Project-based coding lessons for ages 7-14.</t>
        </is>
      </c>
      <c r="E155" s="19" t="inlineStr">
        <is>
          <t>Parents, schools, after-school centres</t>
        </is>
      </c>
      <c r="F155" s="19" t="inlineStr">
        <is>
          <t>One-time</t>
        </is>
      </c>
      <c r="G155" s="28" t="n">
        <v>12000</v>
      </c>
      <c r="H155" s="28" t="n">
        <v>1499</v>
      </c>
      <c r="I155" s="29">
        <f>H155*(1-Assumptions!$B$6)</f>
        <v/>
      </c>
      <c r="J155" s="30">
        <f>IF(I155&gt;0,CEILING(G155/I155,1),0)</f>
        <v/>
      </c>
      <c r="K155" s="30">
        <f>IF(H155&gt;0,CEILING(Assumptions!$B$4/H155,1),0)</f>
        <v/>
      </c>
      <c r="L155" s="30">
        <f>IF(H155&gt;0,CEILING(Assumptions!$B$5/H155,1),0)</f>
        <v/>
      </c>
      <c r="M155" s="29">
        <f>Assumptions!$B$4*(1-Assumptions!$B$6)-G155</f>
        <v/>
      </c>
      <c r="N155" s="29">
        <f>Assumptions!$B$5*(1-Assumptions!$B$6)-G155</f>
        <v/>
      </c>
      <c r="O155" s="19" t="inlineStr">
        <is>
          <t>Subject expertise, Google Docs/LaTeX, Canva, Testbook-style mock platforms, video tools</t>
        </is>
      </c>
      <c r="P155" s="19" t="inlineStr">
        <is>
          <t>Own website/app, Telegram channels, YouTube, schools &amp; coaching tie-ups, Amazon</t>
        </is>
      </c>
    </row>
    <row r="156">
      <c r="A156" s="24" t="n">
        <v>155</v>
      </c>
      <c r="B156" s="24" t="inlineStr">
        <is>
          <t>Education &amp; Exam Prep</t>
        </is>
      </c>
      <c r="C156" s="24" t="inlineStr">
        <is>
          <t>Abacus &amp; Vedic Maths Workbook</t>
        </is>
      </c>
      <c r="D156" s="24" t="inlineStr">
        <is>
          <t>Level-wise practice sheets with speed drills.</t>
        </is>
      </c>
      <c r="E156" s="24" t="inlineStr">
        <is>
          <t>Parents, tuition centres</t>
        </is>
      </c>
      <c r="F156" s="24" t="inlineStr">
        <is>
          <t>One-time</t>
        </is>
      </c>
      <c r="G156" s="25" t="n">
        <v>5000</v>
      </c>
      <c r="H156" s="25" t="n">
        <v>499</v>
      </c>
      <c r="I156" s="26">
        <f>H156*(1-Assumptions!$B$6)</f>
        <v/>
      </c>
      <c r="J156" s="27">
        <f>IF(I156&gt;0,CEILING(G156/I156,1),0)</f>
        <v/>
      </c>
      <c r="K156" s="27">
        <f>IF(H156&gt;0,CEILING(Assumptions!$B$4/H156,1),0)</f>
        <v/>
      </c>
      <c r="L156" s="27">
        <f>IF(H156&gt;0,CEILING(Assumptions!$B$5/H156,1),0)</f>
        <v/>
      </c>
      <c r="M156" s="26">
        <f>Assumptions!$B$4*(1-Assumptions!$B$6)-G156</f>
        <v/>
      </c>
      <c r="N156" s="26">
        <f>Assumptions!$B$5*(1-Assumptions!$B$6)-G156</f>
        <v/>
      </c>
      <c r="O156" s="24" t="inlineStr">
        <is>
          <t>Subject expertise, Google Docs/LaTeX, Canva, Testbook-style mock platforms, video tools</t>
        </is>
      </c>
      <c r="P156" s="24" t="inlineStr">
        <is>
          <t>Own website/app, Telegram channels, YouTube, schools &amp; coaching tie-ups, Amazon</t>
        </is>
      </c>
    </row>
    <row r="157">
      <c r="A157" s="19" t="n">
        <v>156</v>
      </c>
      <c r="B157" s="19" t="inlineStr">
        <is>
          <t>Education &amp; Exam Prep</t>
        </is>
      </c>
      <c r="C157" s="19" t="inlineStr">
        <is>
          <t>Regional Language Learning Flashcards</t>
        </is>
      </c>
      <c r="D157" s="19" t="inlineStr">
        <is>
          <t>Hindi/Tamil/Kannada etc. alphabet and word flashcards with audio.</t>
        </is>
      </c>
      <c r="E157" s="19" t="inlineStr">
        <is>
          <t>Kids, relocating professionals, NRIs</t>
        </is>
      </c>
      <c r="F157" s="19" t="inlineStr">
        <is>
          <t>One-time</t>
        </is>
      </c>
      <c r="G157" s="28" t="n">
        <v>4000</v>
      </c>
      <c r="H157" s="28" t="n">
        <v>299</v>
      </c>
      <c r="I157" s="29">
        <f>H157*(1-Assumptions!$B$6)</f>
        <v/>
      </c>
      <c r="J157" s="30">
        <f>IF(I157&gt;0,CEILING(G157/I157,1),0)</f>
        <v/>
      </c>
      <c r="K157" s="30">
        <f>IF(H157&gt;0,CEILING(Assumptions!$B$4/H157,1),0)</f>
        <v/>
      </c>
      <c r="L157" s="30">
        <f>IF(H157&gt;0,CEILING(Assumptions!$B$5/H157,1),0)</f>
        <v/>
      </c>
      <c r="M157" s="29">
        <f>Assumptions!$B$4*(1-Assumptions!$B$6)-G157</f>
        <v/>
      </c>
      <c r="N157" s="29">
        <f>Assumptions!$B$5*(1-Assumptions!$B$6)-G157</f>
        <v/>
      </c>
      <c r="O157" s="19" t="inlineStr">
        <is>
          <t>Subject expertise, Google Docs/LaTeX, Canva, Testbook-style mock platforms, video tools</t>
        </is>
      </c>
      <c r="P157" s="19" t="inlineStr">
        <is>
          <t>Own website/app, Telegram channels, YouTube, schools &amp; coaching tie-ups, Amazon</t>
        </is>
      </c>
    </row>
    <row r="158">
      <c r="A158" s="24" t="n">
        <v>157</v>
      </c>
      <c r="B158" s="24" t="inlineStr">
        <is>
          <t>Education &amp; Exam Prep</t>
        </is>
      </c>
      <c r="C158" s="24" t="inlineStr">
        <is>
          <t>GATE Engineering Notes</t>
        </is>
      </c>
      <c r="D158" s="24" t="inlineStr">
        <is>
          <t>Subject-wise notes and previous-year solved questions.</t>
        </is>
      </c>
      <c r="E158" s="24" t="inlineStr">
        <is>
          <t>Engineering graduates</t>
        </is>
      </c>
      <c r="F158" s="24" t="inlineStr">
        <is>
          <t>One-time</t>
        </is>
      </c>
      <c r="G158" s="25" t="n">
        <v>8000</v>
      </c>
      <c r="H158" s="25" t="n">
        <v>799</v>
      </c>
      <c r="I158" s="26">
        <f>H158*(1-Assumptions!$B$6)</f>
        <v/>
      </c>
      <c r="J158" s="27">
        <f>IF(I158&gt;0,CEILING(G158/I158,1),0)</f>
        <v/>
      </c>
      <c r="K158" s="27">
        <f>IF(H158&gt;0,CEILING(Assumptions!$B$4/H158,1),0)</f>
        <v/>
      </c>
      <c r="L158" s="27">
        <f>IF(H158&gt;0,CEILING(Assumptions!$B$5/H158,1),0)</f>
        <v/>
      </c>
      <c r="M158" s="26">
        <f>Assumptions!$B$4*(1-Assumptions!$B$6)-G158</f>
        <v/>
      </c>
      <c r="N158" s="26">
        <f>Assumptions!$B$5*(1-Assumptions!$B$6)-G158</f>
        <v/>
      </c>
      <c r="O158" s="24" t="inlineStr">
        <is>
          <t>Subject expertise, Google Docs/LaTeX, Canva, Testbook-style mock platforms, video tools</t>
        </is>
      </c>
      <c r="P158" s="24" t="inlineStr">
        <is>
          <t>Own website/app, Telegram channels, YouTube, schools &amp; coaching tie-ups, Amazon</t>
        </is>
      </c>
    </row>
    <row r="159">
      <c r="A159" s="19" t="n">
        <v>158</v>
      </c>
      <c r="B159" s="19" t="inlineStr">
        <is>
          <t>Education &amp; Exam Prep</t>
        </is>
      </c>
      <c r="C159" s="19" t="inlineStr">
        <is>
          <t>Handwriting Improvement Workbook</t>
        </is>
      </c>
      <c r="D159" s="19" t="inlineStr">
        <is>
          <t>Cursive and print practice sheets with progress tracker.</t>
        </is>
      </c>
      <c r="E159" s="19" t="inlineStr">
        <is>
          <t>Parents of kids 5-12</t>
        </is>
      </c>
      <c r="F159" s="19" t="inlineStr">
        <is>
          <t>One-time</t>
        </is>
      </c>
      <c r="G159" s="28" t="n">
        <v>3000</v>
      </c>
      <c r="H159" s="28" t="n">
        <v>199</v>
      </c>
      <c r="I159" s="29">
        <f>H159*(1-Assumptions!$B$6)</f>
        <v/>
      </c>
      <c r="J159" s="30">
        <f>IF(I159&gt;0,CEILING(G159/I159,1),0)</f>
        <v/>
      </c>
      <c r="K159" s="30">
        <f>IF(H159&gt;0,CEILING(Assumptions!$B$4/H159,1),0)</f>
        <v/>
      </c>
      <c r="L159" s="30">
        <f>IF(H159&gt;0,CEILING(Assumptions!$B$5/H159,1),0)</f>
        <v/>
      </c>
      <c r="M159" s="29">
        <f>Assumptions!$B$4*(1-Assumptions!$B$6)-G159</f>
        <v/>
      </c>
      <c r="N159" s="29">
        <f>Assumptions!$B$5*(1-Assumptions!$B$6)-G159</f>
        <v/>
      </c>
      <c r="O159" s="19" t="inlineStr">
        <is>
          <t>Subject expertise, Google Docs/LaTeX, Canva, Testbook-style mock platforms, video tools</t>
        </is>
      </c>
      <c r="P159" s="19" t="inlineStr">
        <is>
          <t>Own website/app, Telegram channels, YouTube, schools &amp; coaching tie-ups, Amazon</t>
        </is>
      </c>
    </row>
    <row r="160">
      <c r="A160" s="24" t="n">
        <v>159</v>
      </c>
      <c r="B160" s="24" t="inlineStr">
        <is>
          <t>Education &amp; Exam Prep</t>
        </is>
      </c>
      <c r="C160" s="24" t="inlineStr">
        <is>
          <t>School Management Templates</t>
        </is>
      </c>
      <c r="D160" s="24" t="inlineStr">
        <is>
          <t>Timetables, report cards, fee registers and PTM formats.</t>
        </is>
      </c>
      <c r="E160" s="24" t="inlineStr">
        <is>
          <t>Schools, principals</t>
        </is>
      </c>
      <c r="F160" s="24" t="inlineStr">
        <is>
          <t>One-time</t>
        </is>
      </c>
      <c r="G160" s="25" t="n">
        <v>4000</v>
      </c>
      <c r="H160" s="25" t="n">
        <v>1499</v>
      </c>
      <c r="I160" s="26">
        <f>H160*(1-Assumptions!$B$6)</f>
        <v/>
      </c>
      <c r="J160" s="27">
        <f>IF(I160&gt;0,CEILING(G160/I160,1),0)</f>
        <v/>
      </c>
      <c r="K160" s="27">
        <f>IF(H160&gt;0,CEILING(Assumptions!$B$4/H160,1),0)</f>
        <v/>
      </c>
      <c r="L160" s="27">
        <f>IF(H160&gt;0,CEILING(Assumptions!$B$5/H160,1),0)</f>
        <v/>
      </c>
      <c r="M160" s="26">
        <f>Assumptions!$B$4*(1-Assumptions!$B$6)-G160</f>
        <v/>
      </c>
      <c r="N160" s="26">
        <f>Assumptions!$B$5*(1-Assumptions!$B$6)-G160</f>
        <v/>
      </c>
      <c r="O160" s="24" t="inlineStr">
        <is>
          <t>Subject expertise, Google Docs/LaTeX, Canva, Testbook-style mock platforms, video tools</t>
        </is>
      </c>
      <c r="P160" s="24" t="inlineStr">
        <is>
          <t>Own website/app, Telegram channels, YouTube, schools &amp; coaching tie-ups, Amazon</t>
        </is>
      </c>
    </row>
    <row r="161">
      <c r="A161" s="19" t="n">
        <v>160</v>
      </c>
      <c r="B161" s="19" t="inlineStr">
        <is>
          <t>Education &amp; Exam Prep</t>
        </is>
      </c>
      <c r="C161" s="19" t="inlineStr">
        <is>
          <t>Coaching Institute Starter Kit</t>
        </is>
      </c>
      <c r="D161" s="19" t="inlineStr">
        <is>
          <t>Admission forms, marketing creatives, fee sheets and batch planners.</t>
        </is>
      </c>
      <c r="E161" s="19" t="inlineStr">
        <is>
          <t>New tutors &amp; coaching centres</t>
        </is>
      </c>
      <c r="F161" s="19" t="inlineStr">
        <is>
          <t>One-time</t>
        </is>
      </c>
      <c r="G161" s="28" t="n">
        <v>6000</v>
      </c>
      <c r="H161" s="28" t="n">
        <v>2999</v>
      </c>
      <c r="I161" s="29">
        <f>H161*(1-Assumptions!$B$6)</f>
        <v/>
      </c>
      <c r="J161" s="30">
        <f>IF(I161&gt;0,CEILING(G161/I161,1),0)</f>
        <v/>
      </c>
      <c r="K161" s="30">
        <f>IF(H161&gt;0,CEILING(Assumptions!$B$4/H161,1),0)</f>
        <v/>
      </c>
      <c r="L161" s="30">
        <f>IF(H161&gt;0,CEILING(Assumptions!$B$5/H161,1),0)</f>
        <v/>
      </c>
      <c r="M161" s="29">
        <f>Assumptions!$B$4*(1-Assumptions!$B$6)-G161</f>
        <v/>
      </c>
      <c r="N161" s="29">
        <f>Assumptions!$B$5*(1-Assumptions!$B$6)-G161</f>
        <v/>
      </c>
      <c r="O161" s="19" t="inlineStr">
        <is>
          <t>Subject expertise, Google Docs/LaTeX, Canva, Testbook-style mock platforms, video tools</t>
        </is>
      </c>
      <c r="P161" s="19" t="inlineStr">
        <is>
          <t>Own website/app, Telegram channels, YouTube, schools &amp; coaching tie-ups, Amazon</t>
        </is>
      </c>
    </row>
    <row r="162">
      <c r="A162" s="24" t="n">
        <v>161</v>
      </c>
      <c r="B162" s="24" t="inlineStr">
        <is>
          <t>Education &amp; Exam Prep</t>
        </is>
      </c>
      <c r="C162" s="24" t="inlineStr">
        <is>
          <t>Study Abroad Application Kit (SOP/LOR)</t>
        </is>
      </c>
      <c r="D162" s="24" t="inlineStr">
        <is>
          <t>SOP/LOR templates, university shortlist sheet and visa checklist.</t>
        </is>
      </c>
      <c r="E162" s="24" t="inlineStr">
        <is>
          <t>Students applying abroad</t>
        </is>
      </c>
      <c r="F162" s="24" t="inlineStr">
        <is>
          <t>One-time</t>
        </is>
      </c>
      <c r="G162" s="25" t="n">
        <v>5000</v>
      </c>
      <c r="H162" s="25" t="n">
        <v>1499</v>
      </c>
      <c r="I162" s="26">
        <f>H162*(1-Assumptions!$B$6)</f>
        <v/>
      </c>
      <c r="J162" s="27">
        <f>IF(I162&gt;0,CEILING(G162/I162,1),0)</f>
        <v/>
      </c>
      <c r="K162" s="27">
        <f>IF(H162&gt;0,CEILING(Assumptions!$B$4/H162,1),0)</f>
        <v/>
      </c>
      <c r="L162" s="27">
        <f>IF(H162&gt;0,CEILING(Assumptions!$B$5/H162,1),0)</f>
        <v/>
      </c>
      <c r="M162" s="26">
        <f>Assumptions!$B$4*(1-Assumptions!$B$6)-G162</f>
        <v/>
      </c>
      <c r="N162" s="26">
        <f>Assumptions!$B$5*(1-Assumptions!$B$6)-G162</f>
        <v/>
      </c>
      <c r="O162" s="24" t="inlineStr">
        <is>
          <t>Subject expertise, Google Docs/LaTeX, Canva, Testbook-style mock platforms, video tools</t>
        </is>
      </c>
      <c r="P162" s="24" t="inlineStr">
        <is>
          <t>Own website/app, Telegram channels, YouTube, schools &amp; coaching tie-ups, Amazon</t>
        </is>
      </c>
    </row>
    <row r="163">
      <c r="A163" s="19" t="n">
        <v>162</v>
      </c>
      <c r="B163" s="19" t="inlineStr">
        <is>
          <t>Education &amp; Exam Prep</t>
        </is>
      </c>
      <c r="C163" s="19" t="inlineStr">
        <is>
          <t>Soft Skills Curriculum for Colleges (Licensed)</t>
        </is>
      </c>
      <c r="D163" s="19" t="inlineStr">
        <is>
          <t>Semester-long curriculum with slides, activities and assessments.</t>
        </is>
      </c>
      <c r="E163" s="19" t="inlineStr">
        <is>
          <t>Colleges, placement cells</t>
        </is>
      </c>
      <c r="F163" s="19" t="inlineStr">
        <is>
          <t>Per-institution licence</t>
        </is>
      </c>
      <c r="G163" s="28" t="n">
        <v>15000</v>
      </c>
      <c r="H163" s="28" t="n">
        <v>14999</v>
      </c>
      <c r="I163" s="29">
        <f>H163*(1-Assumptions!$B$6)</f>
        <v/>
      </c>
      <c r="J163" s="30">
        <f>IF(I163&gt;0,CEILING(G163/I163,1),0)</f>
        <v/>
      </c>
      <c r="K163" s="30">
        <f>IF(H163&gt;0,CEILING(Assumptions!$B$4/H163,1),0)</f>
        <v/>
      </c>
      <c r="L163" s="30">
        <f>IF(H163&gt;0,CEILING(Assumptions!$B$5/H163,1),0)</f>
        <v/>
      </c>
      <c r="M163" s="29">
        <f>Assumptions!$B$4*(1-Assumptions!$B$6)-G163</f>
        <v/>
      </c>
      <c r="N163" s="29">
        <f>Assumptions!$B$5*(1-Assumptions!$B$6)-G163</f>
        <v/>
      </c>
      <c r="O163" s="19" t="inlineStr">
        <is>
          <t>Subject expertise, Google Docs/LaTeX, Canva, Testbook-style mock platforms, video tools</t>
        </is>
      </c>
      <c r="P163" s="19" t="inlineStr">
        <is>
          <t>Own website/app, Telegram channels, YouTube, schools &amp; coaching tie-ups, Amazon</t>
        </is>
      </c>
    </row>
    <row r="164">
      <c r="A164" s="24" t="n">
        <v>163</v>
      </c>
      <c r="B164" s="24" t="inlineStr">
        <is>
          <t>Finance, Investing &amp; Tax</t>
        </is>
      </c>
      <c r="C164" s="24" t="inlineStr">
        <is>
          <t>Net Worth &amp; Financial Goal Planner</t>
        </is>
      </c>
      <c r="D164" s="24" t="inlineStr">
        <is>
          <t>Tracks assets, liabilities and goal-wise savings automatically.</t>
        </is>
      </c>
      <c r="E164" s="24" t="inlineStr">
        <is>
          <t>Salaried professionals</t>
        </is>
      </c>
      <c r="F164" s="24" t="inlineStr">
        <is>
          <t>One-time</t>
        </is>
      </c>
      <c r="G164" s="25" t="n">
        <v>2000</v>
      </c>
      <c r="H164" s="25" t="n">
        <v>399</v>
      </c>
      <c r="I164" s="26">
        <f>H164*(1-Assumptions!$B$6)</f>
        <v/>
      </c>
      <c r="J164" s="27">
        <f>IF(I164&gt;0,CEILING(G164/I164,1),0)</f>
        <v/>
      </c>
      <c r="K164" s="27">
        <f>IF(H164&gt;0,CEILING(Assumptions!$B$4/H164,1),0)</f>
        <v/>
      </c>
      <c r="L164" s="27">
        <f>IF(H164&gt;0,CEILING(Assumptions!$B$5/H164,1),0)</f>
        <v/>
      </c>
      <c r="M164" s="26">
        <f>Assumptions!$B$4*(1-Assumptions!$B$6)-G164</f>
        <v/>
      </c>
      <c r="N164" s="26">
        <f>Assumptions!$B$5*(1-Assumptions!$B$6)-G164</f>
        <v/>
      </c>
      <c r="O164" s="24" t="inlineStr">
        <is>
          <t>Excel/Google Sheets, finance knowledge (CA/CFP review recommended), Canva</t>
        </is>
      </c>
      <c r="P164" s="24" t="inlineStr">
        <is>
          <t>Own website, YouTube/Instagram finance content, LinkedIn, CA/finance communities</t>
        </is>
      </c>
    </row>
    <row r="165">
      <c r="A165" s="19" t="n">
        <v>164</v>
      </c>
      <c r="B165" s="19" t="inlineStr">
        <is>
          <t>Finance, Investing &amp; Tax</t>
        </is>
      </c>
      <c r="C165" s="19" t="inlineStr">
        <is>
          <t>Income Tax Regime Calculator (Old vs New)</t>
        </is>
      </c>
      <c r="D165" s="19" t="inlineStr">
        <is>
          <t>Compares tax under both regimes and suggests the better option.</t>
        </is>
      </c>
      <c r="E165" s="19" t="inlineStr">
        <is>
          <t>Salaried taxpayers</t>
        </is>
      </c>
      <c r="F165" s="19" t="inlineStr">
        <is>
          <t>One-time</t>
        </is>
      </c>
      <c r="G165" s="28" t="n">
        <v>3000</v>
      </c>
      <c r="H165" s="28" t="n">
        <v>299</v>
      </c>
      <c r="I165" s="29">
        <f>H165*(1-Assumptions!$B$6)</f>
        <v/>
      </c>
      <c r="J165" s="30">
        <f>IF(I165&gt;0,CEILING(G165/I165,1),0)</f>
        <v/>
      </c>
      <c r="K165" s="30">
        <f>IF(H165&gt;0,CEILING(Assumptions!$B$4/H165,1),0)</f>
        <v/>
      </c>
      <c r="L165" s="30">
        <f>IF(H165&gt;0,CEILING(Assumptions!$B$5/H165,1),0)</f>
        <v/>
      </c>
      <c r="M165" s="29">
        <f>Assumptions!$B$4*(1-Assumptions!$B$6)-G165</f>
        <v/>
      </c>
      <c r="N165" s="29">
        <f>Assumptions!$B$5*(1-Assumptions!$B$6)-G165</f>
        <v/>
      </c>
      <c r="O165" s="19" t="inlineStr">
        <is>
          <t>Excel/Google Sheets, finance knowledge (CA/CFP review recommended), Canva</t>
        </is>
      </c>
      <c r="P165" s="19" t="inlineStr">
        <is>
          <t>Own website, YouTube/Instagram finance content, LinkedIn, CA/finance communities</t>
        </is>
      </c>
    </row>
    <row r="166">
      <c r="A166" s="24" t="n">
        <v>165</v>
      </c>
      <c r="B166" s="24" t="inlineStr">
        <is>
          <t>Finance, Investing &amp; Tax</t>
        </is>
      </c>
      <c r="C166" s="24" t="inlineStr">
        <is>
          <t>SIP &amp; Mutual Fund Portfolio Tracker</t>
        </is>
      </c>
      <c r="D166" s="24" t="inlineStr">
        <is>
          <t>XIRR, asset allocation and goal mapping for MF investments.</t>
        </is>
      </c>
      <c r="E166" s="24" t="inlineStr">
        <is>
          <t>Mutual fund investors</t>
        </is>
      </c>
      <c r="F166" s="24" t="inlineStr">
        <is>
          <t>One-time</t>
        </is>
      </c>
      <c r="G166" s="25" t="n">
        <v>3000</v>
      </c>
      <c r="H166" s="25" t="n">
        <v>499</v>
      </c>
      <c r="I166" s="26">
        <f>H166*(1-Assumptions!$B$6)</f>
        <v/>
      </c>
      <c r="J166" s="27">
        <f>IF(I166&gt;0,CEILING(G166/I166,1),0)</f>
        <v/>
      </c>
      <c r="K166" s="27">
        <f>IF(H166&gt;0,CEILING(Assumptions!$B$4/H166,1),0)</f>
        <v/>
      </c>
      <c r="L166" s="27">
        <f>IF(H166&gt;0,CEILING(Assumptions!$B$5/H166,1),0)</f>
        <v/>
      </c>
      <c r="M166" s="26">
        <f>Assumptions!$B$4*(1-Assumptions!$B$6)-G166</f>
        <v/>
      </c>
      <c r="N166" s="26">
        <f>Assumptions!$B$5*(1-Assumptions!$B$6)-G166</f>
        <v/>
      </c>
      <c r="O166" s="24" t="inlineStr">
        <is>
          <t>Excel/Google Sheets, finance knowledge (CA/CFP review recommended), Canva</t>
        </is>
      </c>
      <c r="P166" s="24" t="inlineStr">
        <is>
          <t>Own website, YouTube/Instagram finance content, LinkedIn, CA/finance communities</t>
        </is>
      </c>
    </row>
    <row r="167">
      <c r="A167" s="19" t="n">
        <v>166</v>
      </c>
      <c r="B167" s="19" t="inlineStr">
        <is>
          <t>Finance, Investing &amp; Tax</t>
        </is>
      </c>
      <c r="C167" s="19" t="inlineStr">
        <is>
          <t>Stock Portfolio Tracker (Live Prices)</t>
        </is>
      </c>
      <c r="D167" s="19" t="inlineStr">
        <is>
          <t>Google Sheets tracker with live prices, P&amp;L and sector allocation.</t>
        </is>
      </c>
      <c r="E167" s="19" t="inlineStr">
        <is>
          <t>Retail stock investors</t>
        </is>
      </c>
      <c r="F167" s="19" t="inlineStr">
        <is>
          <t>One-time</t>
        </is>
      </c>
      <c r="G167" s="28" t="n">
        <v>3000</v>
      </c>
      <c r="H167" s="28" t="n">
        <v>599</v>
      </c>
      <c r="I167" s="29">
        <f>H167*(1-Assumptions!$B$6)</f>
        <v/>
      </c>
      <c r="J167" s="30">
        <f>IF(I167&gt;0,CEILING(G167/I167,1),0)</f>
        <v/>
      </c>
      <c r="K167" s="30">
        <f>IF(H167&gt;0,CEILING(Assumptions!$B$4/H167,1),0)</f>
        <v/>
      </c>
      <c r="L167" s="30">
        <f>IF(H167&gt;0,CEILING(Assumptions!$B$5/H167,1),0)</f>
        <v/>
      </c>
      <c r="M167" s="29">
        <f>Assumptions!$B$4*(1-Assumptions!$B$6)-G167</f>
        <v/>
      </c>
      <c r="N167" s="29">
        <f>Assumptions!$B$5*(1-Assumptions!$B$6)-G167</f>
        <v/>
      </c>
      <c r="O167" s="19" t="inlineStr">
        <is>
          <t>Excel/Google Sheets, finance knowledge (CA/CFP review recommended), Canva</t>
        </is>
      </c>
      <c r="P167" s="19" t="inlineStr">
        <is>
          <t>Own website, YouTube/Instagram finance content, LinkedIn, CA/finance communities</t>
        </is>
      </c>
    </row>
    <row r="168">
      <c r="A168" s="24" t="n">
        <v>167</v>
      </c>
      <c r="B168" s="24" t="inlineStr">
        <is>
          <t>Finance, Investing &amp; Tax</t>
        </is>
      </c>
      <c r="C168" s="24" t="inlineStr">
        <is>
          <t>Startup Financial Model (3-Statement, 5-Year)</t>
        </is>
      </c>
      <c r="D168" s="24" t="inlineStr">
        <is>
          <t>Revenue drivers, P&amp;L, balance sheet, cash flow and valuation.</t>
        </is>
      </c>
      <c r="E168" s="24" t="inlineStr">
        <is>
          <t>Founders, startup consultants</t>
        </is>
      </c>
      <c r="F168" s="24" t="inlineStr">
        <is>
          <t>One-time</t>
        </is>
      </c>
      <c r="G168" s="25" t="n">
        <v>10000</v>
      </c>
      <c r="H168" s="25" t="n">
        <v>3999</v>
      </c>
      <c r="I168" s="26">
        <f>H168*(1-Assumptions!$B$6)</f>
        <v/>
      </c>
      <c r="J168" s="27">
        <f>IF(I168&gt;0,CEILING(G168/I168,1),0)</f>
        <v/>
      </c>
      <c r="K168" s="27">
        <f>IF(H168&gt;0,CEILING(Assumptions!$B$4/H168,1),0)</f>
        <v/>
      </c>
      <c r="L168" s="27">
        <f>IF(H168&gt;0,CEILING(Assumptions!$B$5/H168,1),0)</f>
        <v/>
      </c>
      <c r="M168" s="26">
        <f>Assumptions!$B$4*(1-Assumptions!$B$6)-G168</f>
        <v/>
      </c>
      <c r="N168" s="26">
        <f>Assumptions!$B$5*(1-Assumptions!$B$6)-G168</f>
        <v/>
      </c>
      <c r="O168" s="24" t="inlineStr">
        <is>
          <t>Excel/Google Sheets, finance knowledge (CA/CFP review recommended), Canva</t>
        </is>
      </c>
      <c r="P168" s="24" t="inlineStr">
        <is>
          <t>Own website, YouTube/Instagram finance content, LinkedIn, CA/finance communities</t>
        </is>
      </c>
    </row>
    <row r="169">
      <c r="A169" s="19" t="n">
        <v>168</v>
      </c>
      <c r="B169" s="19" t="inlineStr">
        <is>
          <t>Finance, Investing &amp; Tax</t>
        </is>
      </c>
      <c r="C169" s="19" t="inlineStr">
        <is>
          <t>DCF Valuation Template</t>
        </is>
      </c>
      <c r="D169" s="19" t="inlineStr">
        <is>
          <t>Plug-and-play DCF with sensitivity tables.</t>
        </is>
      </c>
      <c r="E169" s="19" t="inlineStr">
        <is>
          <t>Analysts, MBA/CFA students</t>
        </is>
      </c>
      <c r="F169" s="19" t="inlineStr">
        <is>
          <t>One-time</t>
        </is>
      </c>
      <c r="G169" s="28" t="n">
        <v>5000</v>
      </c>
      <c r="H169" s="28" t="n">
        <v>1999</v>
      </c>
      <c r="I169" s="29">
        <f>H169*(1-Assumptions!$B$6)</f>
        <v/>
      </c>
      <c r="J169" s="30">
        <f>IF(I169&gt;0,CEILING(G169/I169,1),0)</f>
        <v/>
      </c>
      <c r="K169" s="30">
        <f>IF(H169&gt;0,CEILING(Assumptions!$B$4/H169,1),0)</f>
        <v/>
      </c>
      <c r="L169" s="30">
        <f>IF(H169&gt;0,CEILING(Assumptions!$B$5/H169,1),0)</f>
        <v/>
      </c>
      <c r="M169" s="29">
        <f>Assumptions!$B$4*(1-Assumptions!$B$6)-G169</f>
        <v/>
      </c>
      <c r="N169" s="29">
        <f>Assumptions!$B$5*(1-Assumptions!$B$6)-G169</f>
        <v/>
      </c>
      <c r="O169" s="19" t="inlineStr">
        <is>
          <t>Excel/Google Sheets, finance knowledge (CA/CFP review recommended), Canva</t>
        </is>
      </c>
      <c r="P169" s="19" t="inlineStr">
        <is>
          <t>Own website, YouTube/Instagram finance content, LinkedIn, CA/finance communities</t>
        </is>
      </c>
    </row>
    <row r="170">
      <c r="A170" s="24" t="n">
        <v>169</v>
      </c>
      <c r="B170" s="24" t="inlineStr">
        <is>
          <t>Finance, Investing &amp; Tax</t>
        </is>
      </c>
      <c r="C170" s="24" t="inlineStr">
        <is>
          <t>CA Firm Client Compliance Tracker</t>
        </is>
      </c>
      <c r="D170" s="24" t="inlineStr">
        <is>
          <t>Due dates for GST, TDS, ITR, ROC by client with status tracking.</t>
        </is>
      </c>
      <c r="E170" s="24" t="inlineStr">
        <is>
          <t>CA / tax consultant firms</t>
        </is>
      </c>
      <c r="F170" s="24" t="inlineStr">
        <is>
          <t>One-time</t>
        </is>
      </c>
      <c r="G170" s="25" t="n">
        <v>4000</v>
      </c>
      <c r="H170" s="25" t="n">
        <v>1499</v>
      </c>
      <c r="I170" s="26">
        <f>H170*(1-Assumptions!$B$6)</f>
        <v/>
      </c>
      <c r="J170" s="27">
        <f>IF(I170&gt;0,CEILING(G170/I170,1),0)</f>
        <v/>
      </c>
      <c r="K170" s="27">
        <f>IF(H170&gt;0,CEILING(Assumptions!$B$4/H170,1),0)</f>
        <v/>
      </c>
      <c r="L170" s="27">
        <f>IF(H170&gt;0,CEILING(Assumptions!$B$5/H170,1),0)</f>
        <v/>
      </c>
      <c r="M170" s="26">
        <f>Assumptions!$B$4*(1-Assumptions!$B$6)-G170</f>
        <v/>
      </c>
      <c r="N170" s="26">
        <f>Assumptions!$B$5*(1-Assumptions!$B$6)-G170</f>
        <v/>
      </c>
      <c r="O170" s="24" t="inlineStr">
        <is>
          <t>Excel/Google Sheets, finance knowledge (CA/CFP review recommended), Canva</t>
        </is>
      </c>
      <c r="P170" s="24" t="inlineStr">
        <is>
          <t>Own website, YouTube/Instagram finance content, LinkedIn, CA/finance communities</t>
        </is>
      </c>
    </row>
    <row r="171">
      <c r="A171" s="19" t="n">
        <v>170</v>
      </c>
      <c r="B171" s="19" t="inlineStr">
        <is>
          <t>Finance, Investing &amp; Tax</t>
        </is>
      </c>
      <c r="C171" s="19" t="inlineStr">
        <is>
          <t>Home Loan Eligibility &amp; Buying Calculator</t>
        </is>
      </c>
      <c r="D171" s="19" t="inlineStr">
        <is>
          <t>Eligibility, EMI, rent-vs-buy and total cost of ownership.</t>
        </is>
      </c>
      <c r="E171" s="19" t="inlineStr">
        <is>
          <t>Home buyers</t>
        </is>
      </c>
      <c r="F171" s="19" t="inlineStr">
        <is>
          <t>One-time</t>
        </is>
      </c>
      <c r="G171" s="28" t="n">
        <v>2000</v>
      </c>
      <c r="H171" s="28" t="n">
        <v>299</v>
      </c>
      <c r="I171" s="29">
        <f>H171*(1-Assumptions!$B$6)</f>
        <v/>
      </c>
      <c r="J171" s="30">
        <f>IF(I171&gt;0,CEILING(G171/I171,1),0)</f>
        <v/>
      </c>
      <c r="K171" s="30">
        <f>IF(H171&gt;0,CEILING(Assumptions!$B$4/H171,1),0)</f>
        <v/>
      </c>
      <c r="L171" s="30">
        <f>IF(H171&gt;0,CEILING(Assumptions!$B$5/H171,1),0)</f>
        <v/>
      </c>
      <c r="M171" s="29">
        <f>Assumptions!$B$4*(1-Assumptions!$B$6)-G171</f>
        <v/>
      </c>
      <c r="N171" s="29">
        <f>Assumptions!$B$5*(1-Assumptions!$B$6)-G171</f>
        <v/>
      </c>
      <c r="O171" s="19" t="inlineStr">
        <is>
          <t>Excel/Google Sheets, finance knowledge (CA/CFP review recommended), Canva</t>
        </is>
      </c>
      <c r="P171" s="19" t="inlineStr">
        <is>
          <t>Own website, YouTube/Instagram finance content, LinkedIn, CA/finance communities</t>
        </is>
      </c>
    </row>
    <row r="172">
      <c r="A172" s="24" t="n">
        <v>171</v>
      </c>
      <c r="B172" s="24" t="inlineStr">
        <is>
          <t>Finance, Investing &amp; Tax</t>
        </is>
      </c>
      <c r="C172" s="24" t="inlineStr">
        <is>
          <t>Business Cash Flow Forecast Template</t>
        </is>
      </c>
      <c r="D172" s="24" t="inlineStr">
        <is>
          <t>13-week and 12-month cash forecasts with scenario toggles.</t>
        </is>
      </c>
      <c r="E172" s="24" t="inlineStr">
        <is>
          <t>SME owners, finance managers</t>
        </is>
      </c>
      <c r="F172" s="24" t="inlineStr">
        <is>
          <t>One-time</t>
        </is>
      </c>
      <c r="G172" s="25" t="n">
        <v>4000</v>
      </c>
      <c r="H172" s="25" t="n">
        <v>999</v>
      </c>
      <c r="I172" s="26">
        <f>H172*(1-Assumptions!$B$6)</f>
        <v/>
      </c>
      <c r="J172" s="27">
        <f>IF(I172&gt;0,CEILING(G172/I172,1),0)</f>
        <v/>
      </c>
      <c r="K172" s="27">
        <f>IF(H172&gt;0,CEILING(Assumptions!$B$4/H172,1),0)</f>
        <v/>
      </c>
      <c r="L172" s="27">
        <f>IF(H172&gt;0,CEILING(Assumptions!$B$5/H172,1),0)</f>
        <v/>
      </c>
      <c r="M172" s="26">
        <f>Assumptions!$B$4*(1-Assumptions!$B$6)-G172</f>
        <v/>
      </c>
      <c r="N172" s="26">
        <f>Assumptions!$B$5*(1-Assumptions!$B$6)-G172</f>
        <v/>
      </c>
      <c r="O172" s="24" t="inlineStr">
        <is>
          <t>Excel/Google Sheets, finance knowledge (CA/CFP review recommended), Canva</t>
        </is>
      </c>
      <c r="P172" s="24" t="inlineStr">
        <is>
          <t>Own website, YouTube/Instagram finance content, LinkedIn, CA/finance communities</t>
        </is>
      </c>
    </row>
    <row r="173">
      <c r="A173" s="19" t="n">
        <v>172</v>
      </c>
      <c r="B173" s="19" t="inlineStr">
        <is>
          <t>Finance, Investing &amp; Tax</t>
        </is>
      </c>
      <c r="C173" s="19" t="inlineStr">
        <is>
          <t>Insurance Needs Calculator</t>
        </is>
      </c>
      <c r="D173" s="19" t="inlineStr">
        <is>
          <t>Term and health cover needed based on income, liabilities and goals.</t>
        </is>
      </c>
      <c r="E173" s="19" t="inlineStr">
        <is>
          <t>Families, young earners</t>
        </is>
      </c>
      <c r="F173" s="19" t="inlineStr">
        <is>
          <t>One-time</t>
        </is>
      </c>
      <c r="G173" s="28" t="n">
        <v>2000</v>
      </c>
      <c r="H173" s="28" t="n">
        <v>299</v>
      </c>
      <c r="I173" s="29">
        <f>H173*(1-Assumptions!$B$6)</f>
        <v/>
      </c>
      <c r="J173" s="30">
        <f>IF(I173&gt;0,CEILING(G173/I173,1),0)</f>
        <v/>
      </c>
      <c r="K173" s="30">
        <f>IF(H173&gt;0,CEILING(Assumptions!$B$4/H173,1),0)</f>
        <v/>
      </c>
      <c r="L173" s="30">
        <f>IF(H173&gt;0,CEILING(Assumptions!$B$5/H173,1),0)</f>
        <v/>
      </c>
      <c r="M173" s="29">
        <f>Assumptions!$B$4*(1-Assumptions!$B$6)-G173</f>
        <v/>
      </c>
      <c r="N173" s="29">
        <f>Assumptions!$B$5*(1-Assumptions!$B$6)-G173</f>
        <v/>
      </c>
      <c r="O173" s="19" t="inlineStr">
        <is>
          <t>Excel/Google Sheets, finance knowledge (CA/CFP review recommended), Canva</t>
        </is>
      </c>
      <c r="P173" s="19" t="inlineStr">
        <is>
          <t>Own website, YouTube/Instagram finance content, LinkedIn, CA/finance communities</t>
        </is>
      </c>
    </row>
    <row r="174">
      <c r="A174" s="24" t="n">
        <v>173</v>
      </c>
      <c r="B174" s="24" t="inlineStr">
        <is>
          <t>Finance, Investing &amp; Tax</t>
        </is>
      </c>
      <c r="C174" s="24" t="inlineStr">
        <is>
          <t>Retirement Corpus Calculator</t>
        </is>
      </c>
      <c r="D174" s="24" t="inlineStr">
        <is>
          <t>Inflation-adjusted corpus and monthly SIP needed.</t>
        </is>
      </c>
      <c r="E174" s="24" t="inlineStr">
        <is>
          <t>Professionals 30-55</t>
        </is>
      </c>
      <c r="F174" s="24" t="inlineStr">
        <is>
          <t>One-time</t>
        </is>
      </c>
      <c r="G174" s="25" t="n">
        <v>2000</v>
      </c>
      <c r="H174" s="25" t="n">
        <v>299</v>
      </c>
      <c r="I174" s="26">
        <f>H174*(1-Assumptions!$B$6)</f>
        <v/>
      </c>
      <c r="J174" s="27">
        <f>IF(I174&gt;0,CEILING(G174/I174,1),0)</f>
        <v/>
      </c>
      <c r="K174" s="27">
        <f>IF(H174&gt;0,CEILING(Assumptions!$B$4/H174,1),0)</f>
        <v/>
      </c>
      <c r="L174" s="27">
        <f>IF(H174&gt;0,CEILING(Assumptions!$B$5/H174,1),0)</f>
        <v/>
      </c>
      <c r="M174" s="26">
        <f>Assumptions!$B$4*(1-Assumptions!$B$6)-G174</f>
        <v/>
      </c>
      <c r="N174" s="26">
        <f>Assumptions!$B$5*(1-Assumptions!$B$6)-G174</f>
        <v/>
      </c>
      <c r="O174" s="24" t="inlineStr">
        <is>
          <t>Excel/Google Sheets, finance knowledge (CA/CFP review recommended), Canva</t>
        </is>
      </c>
      <c r="P174" s="24" t="inlineStr">
        <is>
          <t>Own website, YouTube/Instagram finance content, LinkedIn, CA/finance communities</t>
        </is>
      </c>
    </row>
    <row r="175">
      <c r="A175" s="19" t="n">
        <v>174</v>
      </c>
      <c r="B175" s="19" t="inlineStr">
        <is>
          <t>Finance, Investing &amp; Tax</t>
        </is>
      </c>
      <c r="C175" s="19" t="inlineStr">
        <is>
          <t>Family Budget &amp; Child Education Fund Planner</t>
        </is>
      </c>
      <c r="D175" s="19" t="inlineStr">
        <is>
          <t>Household budget plus education goal planning.</t>
        </is>
      </c>
      <c r="E175" s="19" t="inlineStr">
        <is>
          <t>Parents</t>
        </is>
      </c>
      <c r="F175" s="19" t="inlineStr">
        <is>
          <t>One-time</t>
        </is>
      </c>
      <c r="G175" s="28" t="n">
        <v>2000</v>
      </c>
      <c r="H175" s="28" t="n">
        <v>299</v>
      </c>
      <c r="I175" s="29">
        <f>H175*(1-Assumptions!$B$6)</f>
        <v/>
      </c>
      <c r="J175" s="30">
        <f>IF(I175&gt;0,CEILING(G175/I175,1),0)</f>
        <v/>
      </c>
      <c r="K175" s="30">
        <f>IF(H175&gt;0,CEILING(Assumptions!$B$4/H175,1),0)</f>
        <v/>
      </c>
      <c r="L175" s="30">
        <f>IF(H175&gt;0,CEILING(Assumptions!$B$5/H175,1),0)</f>
        <v/>
      </c>
      <c r="M175" s="29">
        <f>Assumptions!$B$4*(1-Assumptions!$B$6)-G175</f>
        <v/>
      </c>
      <c r="N175" s="29">
        <f>Assumptions!$B$5*(1-Assumptions!$B$6)-G175</f>
        <v/>
      </c>
      <c r="O175" s="19" t="inlineStr">
        <is>
          <t>Excel/Google Sheets, finance knowledge (CA/CFP review recommended), Canva</t>
        </is>
      </c>
      <c r="P175" s="19" t="inlineStr">
        <is>
          <t>Own website, YouTube/Instagram finance content, LinkedIn, CA/finance communities</t>
        </is>
      </c>
    </row>
    <row r="176">
      <c r="A176" s="24" t="n">
        <v>175</v>
      </c>
      <c r="B176" s="24" t="inlineStr">
        <is>
          <t>Finance, Investing &amp; Tax</t>
        </is>
      </c>
      <c r="C176" s="24" t="inlineStr">
        <is>
          <t>Freelancer Tax Guide + Advance Tax Calculator (44ADA)</t>
        </is>
      </c>
      <c r="D176" s="24" t="inlineStr">
        <is>
          <t>Presumptive taxation, advance tax dates and a calculator.</t>
        </is>
      </c>
      <c r="E176" s="24" t="inlineStr">
        <is>
          <t>Freelancers, consultants</t>
        </is>
      </c>
      <c r="F176" s="24" t="inlineStr">
        <is>
          <t>One-time</t>
        </is>
      </c>
      <c r="G176" s="25" t="n">
        <v>3000</v>
      </c>
      <c r="H176" s="25" t="n">
        <v>499</v>
      </c>
      <c r="I176" s="26">
        <f>H176*(1-Assumptions!$B$6)</f>
        <v/>
      </c>
      <c r="J176" s="27">
        <f>IF(I176&gt;0,CEILING(G176/I176,1),0)</f>
        <v/>
      </c>
      <c r="K176" s="27">
        <f>IF(H176&gt;0,CEILING(Assumptions!$B$4/H176,1),0)</f>
        <v/>
      </c>
      <c r="L176" s="27">
        <f>IF(H176&gt;0,CEILING(Assumptions!$B$5/H176,1),0)</f>
        <v/>
      </c>
      <c r="M176" s="26">
        <f>Assumptions!$B$4*(1-Assumptions!$B$6)-G176</f>
        <v/>
      </c>
      <c r="N176" s="26">
        <f>Assumptions!$B$5*(1-Assumptions!$B$6)-G176</f>
        <v/>
      </c>
      <c r="O176" s="24" t="inlineStr">
        <is>
          <t>Excel/Google Sheets, finance knowledge (CA/CFP review recommended), Canva</t>
        </is>
      </c>
      <c r="P176" s="24" t="inlineStr">
        <is>
          <t>Own website, YouTube/Instagram finance content, LinkedIn, CA/finance communities</t>
        </is>
      </c>
    </row>
    <row r="177">
      <c r="A177" s="19" t="n">
        <v>176</v>
      </c>
      <c r="B177" s="19" t="inlineStr">
        <is>
          <t>Finance, Investing &amp; Tax</t>
        </is>
      </c>
      <c r="C177" s="19" t="inlineStr">
        <is>
          <t>Financial Literacy Course for Teens</t>
        </is>
      </c>
      <c r="D177" s="19" t="inlineStr">
        <is>
          <t>Money basics, saving, investing and avoiding scams.</t>
        </is>
      </c>
      <c r="E177" s="19" t="inlineStr">
        <is>
          <t>Parents of teens, schools</t>
        </is>
      </c>
      <c r="F177" s="19" t="inlineStr">
        <is>
          <t>One-time</t>
        </is>
      </c>
      <c r="G177" s="28" t="n">
        <v>15000</v>
      </c>
      <c r="H177" s="28" t="n">
        <v>999</v>
      </c>
      <c r="I177" s="29">
        <f>H177*(1-Assumptions!$B$6)</f>
        <v/>
      </c>
      <c r="J177" s="30">
        <f>IF(I177&gt;0,CEILING(G177/I177,1),0)</f>
        <v/>
      </c>
      <c r="K177" s="30">
        <f>IF(H177&gt;0,CEILING(Assumptions!$B$4/H177,1),0)</f>
        <v/>
      </c>
      <c r="L177" s="30">
        <f>IF(H177&gt;0,CEILING(Assumptions!$B$5/H177,1),0)</f>
        <v/>
      </c>
      <c r="M177" s="29">
        <f>Assumptions!$B$4*(1-Assumptions!$B$6)-G177</f>
        <v/>
      </c>
      <c r="N177" s="29">
        <f>Assumptions!$B$5*(1-Assumptions!$B$6)-G177</f>
        <v/>
      </c>
      <c r="O177" s="19" t="inlineStr">
        <is>
          <t>Excel/Google Sheets, finance knowledge (CA/CFP review recommended), Canva</t>
        </is>
      </c>
      <c r="P177" s="19" t="inlineStr">
        <is>
          <t>Own website, YouTube/Instagram finance content, LinkedIn, CA/finance communities</t>
        </is>
      </c>
    </row>
    <row r="178">
      <c r="A178" s="24" t="n">
        <v>177</v>
      </c>
      <c r="B178" s="24" t="inlineStr">
        <is>
          <t>Finance, Investing &amp; Tax</t>
        </is>
      </c>
      <c r="C178" s="24" t="inlineStr">
        <is>
          <t>Trading Journal (Excel / Notion)</t>
        </is>
      </c>
      <c r="D178" s="24" t="inlineStr">
        <is>
          <t>Log trades, strategy tags, win-rate and risk metrics.</t>
        </is>
      </c>
      <c r="E178" s="24" t="inlineStr">
        <is>
          <t>Active traders</t>
        </is>
      </c>
      <c r="F178" s="24" t="inlineStr">
        <is>
          <t>One-time</t>
        </is>
      </c>
      <c r="G178" s="25" t="n">
        <v>2000</v>
      </c>
      <c r="H178" s="25" t="n">
        <v>499</v>
      </c>
      <c r="I178" s="26">
        <f>H178*(1-Assumptions!$B$6)</f>
        <v/>
      </c>
      <c r="J178" s="27">
        <f>IF(I178&gt;0,CEILING(G178/I178,1),0)</f>
        <v/>
      </c>
      <c r="K178" s="27">
        <f>IF(H178&gt;0,CEILING(Assumptions!$B$4/H178,1),0)</f>
        <v/>
      </c>
      <c r="L178" s="27">
        <f>IF(H178&gt;0,CEILING(Assumptions!$B$5/H178,1),0)</f>
        <v/>
      </c>
      <c r="M178" s="26">
        <f>Assumptions!$B$4*(1-Assumptions!$B$6)-G178</f>
        <v/>
      </c>
      <c r="N178" s="26">
        <f>Assumptions!$B$5*(1-Assumptions!$B$6)-G178</f>
        <v/>
      </c>
      <c r="O178" s="24" t="inlineStr">
        <is>
          <t>Excel/Google Sheets, finance knowledge (CA/CFP review recommended), Canva</t>
        </is>
      </c>
      <c r="P178" s="24" t="inlineStr">
        <is>
          <t>Own website, YouTube/Instagram finance content, LinkedIn, CA/finance communities</t>
        </is>
      </c>
    </row>
    <row r="179">
      <c r="A179" s="19" t="n">
        <v>178</v>
      </c>
      <c r="B179" s="19" t="inlineStr">
        <is>
          <t>Finance, Investing &amp; Tax</t>
        </is>
      </c>
      <c r="C179" s="19" t="inlineStr">
        <is>
          <t>Credit Score Improvement Guide</t>
        </is>
      </c>
      <c r="D179" s="19" t="inlineStr">
        <is>
          <t>How CIBIL works, fixing errors and a 90-day improvement plan.</t>
        </is>
      </c>
      <c r="E179" s="19" t="inlineStr">
        <is>
          <t>Loan/credit-card applicants</t>
        </is>
      </c>
      <c r="F179" s="19" t="inlineStr">
        <is>
          <t>One-time</t>
        </is>
      </c>
      <c r="G179" s="28" t="n">
        <v>2000</v>
      </c>
      <c r="H179" s="28" t="n">
        <v>199</v>
      </c>
      <c r="I179" s="29">
        <f>H179*(1-Assumptions!$B$6)</f>
        <v/>
      </c>
      <c r="J179" s="30">
        <f>IF(I179&gt;0,CEILING(G179/I179,1),0)</f>
        <v/>
      </c>
      <c r="K179" s="30">
        <f>IF(H179&gt;0,CEILING(Assumptions!$B$4/H179,1),0)</f>
        <v/>
      </c>
      <c r="L179" s="30">
        <f>IF(H179&gt;0,CEILING(Assumptions!$B$5/H179,1),0)</f>
        <v/>
      </c>
      <c r="M179" s="29">
        <f>Assumptions!$B$4*(1-Assumptions!$B$6)-G179</f>
        <v/>
      </c>
      <c r="N179" s="29">
        <f>Assumptions!$B$5*(1-Assumptions!$B$6)-G179</f>
        <v/>
      </c>
      <c r="O179" s="19" t="inlineStr">
        <is>
          <t>Excel/Google Sheets, finance knowledge (CA/CFP review recommended), Canva</t>
        </is>
      </c>
      <c r="P179" s="19" t="inlineStr">
        <is>
          <t>Own website, YouTube/Instagram finance content, LinkedIn, CA/finance communities</t>
        </is>
      </c>
    </row>
    <row r="180">
      <c r="A180" s="24" t="n">
        <v>179</v>
      </c>
      <c r="B180" s="24" t="inlineStr">
        <is>
          <t>Finance, Investing &amp; Tax</t>
        </is>
      </c>
      <c r="C180" s="24" t="inlineStr">
        <is>
          <t>NRI Tax &amp; Investment Guide</t>
        </is>
      </c>
      <c r="D180" s="24" t="inlineStr">
        <is>
          <t>NRE/NRO, DTAA, property and investment rules for NRIs.</t>
        </is>
      </c>
      <c r="E180" s="24" t="inlineStr">
        <is>
          <t>NRIs, returning Indians</t>
        </is>
      </c>
      <c r="F180" s="24" t="inlineStr">
        <is>
          <t>One-time</t>
        </is>
      </c>
      <c r="G180" s="25" t="n">
        <v>4000</v>
      </c>
      <c r="H180" s="25" t="n">
        <v>999</v>
      </c>
      <c r="I180" s="26">
        <f>H180*(1-Assumptions!$B$6)</f>
        <v/>
      </c>
      <c r="J180" s="27">
        <f>IF(I180&gt;0,CEILING(G180/I180,1),0)</f>
        <v/>
      </c>
      <c r="K180" s="27">
        <f>IF(H180&gt;0,CEILING(Assumptions!$B$4/H180,1),0)</f>
        <v/>
      </c>
      <c r="L180" s="27">
        <f>IF(H180&gt;0,CEILING(Assumptions!$B$5/H180,1),0)</f>
        <v/>
      </c>
      <c r="M180" s="26">
        <f>Assumptions!$B$4*(1-Assumptions!$B$6)-G180</f>
        <v/>
      </c>
      <c r="N180" s="26">
        <f>Assumptions!$B$5*(1-Assumptions!$B$6)-G180</f>
        <v/>
      </c>
      <c r="O180" s="24" t="inlineStr">
        <is>
          <t>Excel/Google Sheets, finance knowledge (CA/CFP review recommended), Canva</t>
        </is>
      </c>
      <c r="P180" s="24" t="inlineStr">
        <is>
          <t>Own website, YouTube/Instagram finance content, LinkedIn, CA/finance communities</t>
        </is>
      </c>
    </row>
    <row r="181">
      <c r="A181" s="19" t="n">
        <v>180</v>
      </c>
      <c r="B181" s="19" t="inlineStr">
        <is>
          <t>Finance, Investing &amp; Tax</t>
        </is>
      </c>
      <c r="C181" s="19" t="inlineStr">
        <is>
          <t>MIS Reporting Templates for CFOs</t>
        </is>
      </c>
      <c r="D181" s="19" t="inlineStr">
        <is>
          <t>Monthly board MIS pack: P&amp;L, cash, receivables, KPIs.</t>
        </is>
      </c>
      <c r="E181" s="19" t="inlineStr">
        <is>
          <t>CFOs, finance teams</t>
        </is>
      </c>
      <c r="F181" s="19" t="inlineStr">
        <is>
          <t>One-time</t>
        </is>
      </c>
      <c r="G181" s="28" t="n">
        <v>8000</v>
      </c>
      <c r="H181" s="28" t="n">
        <v>2999</v>
      </c>
      <c r="I181" s="29">
        <f>H181*(1-Assumptions!$B$6)</f>
        <v/>
      </c>
      <c r="J181" s="30">
        <f>IF(I181&gt;0,CEILING(G181/I181,1),0)</f>
        <v/>
      </c>
      <c r="K181" s="30">
        <f>IF(H181&gt;0,CEILING(Assumptions!$B$4/H181,1),0)</f>
        <v/>
      </c>
      <c r="L181" s="30">
        <f>IF(H181&gt;0,CEILING(Assumptions!$B$5/H181,1),0)</f>
        <v/>
      </c>
      <c r="M181" s="29">
        <f>Assumptions!$B$4*(1-Assumptions!$B$6)-G181</f>
        <v/>
      </c>
      <c r="N181" s="29">
        <f>Assumptions!$B$5*(1-Assumptions!$B$6)-G181</f>
        <v/>
      </c>
      <c r="O181" s="19" t="inlineStr">
        <is>
          <t>Excel/Google Sheets, finance knowledge (CA/CFP review recommended), Canva</t>
        </is>
      </c>
      <c r="P181" s="19" t="inlineStr">
        <is>
          <t>Own website, YouTube/Instagram finance content, LinkedIn, CA/finance communities</t>
        </is>
      </c>
    </row>
    <row r="182">
      <c r="A182" s="24" t="n">
        <v>181</v>
      </c>
      <c r="B182" s="24" t="inlineStr">
        <is>
          <t>Health, Fitness &amp; Lifestyle</t>
        </is>
      </c>
      <c r="C182" s="24" t="inlineStr">
        <is>
          <t>12-Week Home Workout Program (Video + PDF)</t>
        </is>
      </c>
      <c r="D182" s="24" t="inlineStr">
        <is>
          <t>Progressive no-equipment workouts with tracker.</t>
        </is>
      </c>
      <c r="E182" s="24" t="inlineStr">
        <is>
          <t>Busy professionals, beginners</t>
        </is>
      </c>
      <c r="F182" s="24" t="inlineStr">
        <is>
          <t>One-time</t>
        </is>
      </c>
      <c r="G182" s="25" t="n">
        <v>15000</v>
      </c>
      <c r="H182" s="25" t="n">
        <v>999</v>
      </c>
      <c r="I182" s="26">
        <f>H182*(1-Assumptions!$B$6)</f>
        <v/>
      </c>
      <c r="J182" s="27">
        <f>IF(I182&gt;0,CEILING(G182/I182,1),0)</f>
        <v/>
      </c>
      <c r="K182" s="27">
        <f>IF(H182&gt;0,CEILING(Assumptions!$B$4/H182,1),0)</f>
        <v/>
      </c>
      <c r="L182" s="27">
        <f>IF(H182&gt;0,CEILING(Assumptions!$B$5/H182,1),0)</f>
        <v/>
      </c>
      <c r="M182" s="26">
        <f>Assumptions!$B$4*(1-Assumptions!$B$6)-G182</f>
        <v/>
      </c>
      <c r="N182" s="26">
        <f>Assumptions!$B$5*(1-Assumptions!$B$6)-G182</f>
        <v/>
      </c>
      <c r="O182" s="24" t="inlineStr">
        <is>
          <t>Phone camera, Canva, certified trainer/nutritionist review, video hosting</t>
        </is>
      </c>
      <c r="P182" s="24" t="inlineStr">
        <is>
          <t>Own website/app, Instagram, YouTube, WhatsApp communities, corporate HR outreach</t>
        </is>
      </c>
    </row>
    <row r="183">
      <c r="A183" s="19" t="n">
        <v>182</v>
      </c>
      <c r="B183" s="19" t="inlineStr">
        <is>
          <t>Health, Fitness &amp; Lifestyle</t>
        </is>
      </c>
      <c r="C183" s="19" t="inlineStr">
        <is>
          <t>Indian Weight-loss Diet Plans (Veg / Non-veg)</t>
        </is>
      </c>
      <c r="D183" s="19" t="inlineStr">
        <is>
          <t>Calorie-counted Indian meal plans reviewed by a nutritionist.</t>
        </is>
      </c>
      <c r="E183" s="19" t="inlineStr">
        <is>
          <t>Adults wanting to lose weight</t>
        </is>
      </c>
      <c r="F183" s="19" t="inlineStr">
        <is>
          <t>One-time</t>
        </is>
      </c>
      <c r="G183" s="28" t="n">
        <v>5000</v>
      </c>
      <c r="H183" s="28" t="n">
        <v>499</v>
      </c>
      <c r="I183" s="29">
        <f>H183*(1-Assumptions!$B$6)</f>
        <v/>
      </c>
      <c r="J183" s="30">
        <f>IF(I183&gt;0,CEILING(G183/I183,1),0)</f>
        <v/>
      </c>
      <c r="K183" s="30">
        <f>IF(H183&gt;0,CEILING(Assumptions!$B$4/H183,1),0)</f>
        <v/>
      </c>
      <c r="L183" s="30">
        <f>IF(H183&gt;0,CEILING(Assumptions!$B$5/H183,1),0)</f>
        <v/>
      </c>
      <c r="M183" s="29">
        <f>Assumptions!$B$4*(1-Assumptions!$B$6)-G183</f>
        <v/>
      </c>
      <c r="N183" s="29">
        <f>Assumptions!$B$5*(1-Assumptions!$B$6)-G183</f>
        <v/>
      </c>
      <c r="O183" s="19" t="inlineStr">
        <is>
          <t>Phone camera, Canva, certified trainer/nutritionist review, video hosting</t>
        </is>
      </c>
      <c r="P183" s="19" t="inlineStr">
        <is>
          <t>Own website/app, Instagram, YouTube, WhatsApp communities, corporate HR outreach</t>
        </is>
      </c>
    </row>
    <row r="184">
      <c r="A184" s="24" t="n">
        <v>183</v>
      </c>
      <c r="B184" s="24" t="inlineStr">
        <is>
          <t>Health, Fitness &amp; Lifestyle</t>
        </is>
      </c>
      <c r="C184" s="24" t="inlineStr">
        <is>
          <t>PCOS Diet &amp; Lifestyle Guide</t>
        </is>
      </c>
      <c r="D184" s="24" t="inlineStr">
        <is>
          <t>Meal plans, exercise and lifestyle routines for PCOS (expert-reviewed).</t>
        </is>
      </c>
      <c r="E184" s="24" t="inlineStr">
        <is>
          <t>Women with PCOS</t>
        </is>
      </c>
      <c r="F184" s="24" t="inlineStr">
        <is>
          <t>One-time</t>
        </is>
      </c>
      <c r="G184" s="25" t="n">
        <v>6000</v>
      </c>
      <c r="H184" s="25" t="n">
        <v>699</v>
      </c>
      <c r="I184" s="26">
        <f>H184*(1-Assumptions!$B$6)</f>
        <v/>
      </c>
      <c r="J184" s="27">
        <f>IF(I184&gt;0,CEILING(G184/I184,1),0)</f>
        <v/>
      </c>
      <c r="K184" s="27">
        <f>IF(H184&gt;0,CEILING(Assumptions!$B$4/H184,1),0)</f>
        <v/>
      </c>
      <c r="L184" s="27">
        <f>IF(H184&gt;0,CEILING(Assumptions!$B$5/H184,1),0)</f>
        <v/>
      </c>
      <c r="M184" s="26">
        <f>Assumptions!$B$4*(1-Assumptions!$B$6)-G184</f>
        <v/>
      </c>
      <c r="N184" s="26">
        <f>Assumptions!$B$5*(1-Assumptions!$B$6)-G184</f>
        <v/>
      </c>
      <c r="O184" s="24" t="inlineStr">
        <is>
          <t>Phone camera, Canva, certified trainer/nutritionist review, video hosting</t>
        </is>
      </c>
      <c r="P184" s="24" t="inlineStr">
        <is>
          <t>Own website/app, Instagram, YouTube, WhatsApp communities, corporate HR outreach</t>
        </is>
      </c>
    </row>
    <row r="185">
      <c r="A185" s="19" t="n">
        <v>184</v>
      </c>
      <c r="B185" s="19" t="inlineStr">
        <is>
          <t>Health, Fitness &amp; Lifestyle</t>
        </is>
      </c>
      <c r="C185" s="19" t="inlineStr">
        <is>
          <t>Diabetes-friendly Indian Meal Plan</t>
        </is>
      </c>
      <c r="D185" s="19" t="inlineStr">
        <is>
          <t>Low-GI Indian meals and sugar-tracking sheet (doctor-reviewed).</t>
        </is>
      </c>
      <c r="E185" s="19" t="inlineStr">
        <is>
          <t>Pre-diabetic &amp; diabetic adults, caregivers</t>
        </is>
      </c>
      <c r="F185" s="19" t="inlineStr">
        <is>
          <t>One-time</t>
        </is>
      </c>
      <c r="G185" s="28" t="n">
        <v>6000</v>
      </c>
      <c r="H185" s="28" t="n">
        <v>699</v>
      </c>
      <c r="I185" s="29">
        <f>H185*(1-Assumptions!$B$6)</f>
        <v/>
      </c>
      <c r="J185" s="30">
        <f>IF(I185&gt;0,CEILING(G185/I185,1),0)</f>
        <v/>
      </c>
      <c r="K185" s="30">
        <f>IF(H185&gt;0,CEILING(Assumptions!$B$4/H185,1),0)</f>
        <v/>
      </c>
      <c r="L185" s="30">
        <f>IF(H185&gt;0,CEILING(Assumptions!$B$5/H185,1),0)</f>
        <v/>
      </c>
      <c r="M185" s="29">
        <f>Assumptions!$B$4*(1-Assumptions!$B$6)-G185</f>
        <v/>
      </c>
      <c r="N185" s="29">
        <f>Assumptions!$B$5*(1-Assumptions!$B$6)-G185</f>
        <v/>
      </c>
      <c r="O185" s="19" t="inlineStr">
        <is>
          <t>Phone camera, Canva, certified trainer/nutritionist review, video hosting</t>
        </is>
      </c>
      <c r="P185" s="19" t="inlineStr">
        <is>
          <t>Own website/app, Instagram, YouTube, WhatsApp communities, corporate HR outreach</t>
        </is>
      </c>
    </row>
    <row r="186">
      <c r="A186" s="24" t="n">
        <v>185</v>
      </c>
      <c r="B186" s="24" t="inlineStr">
        <is>
          <t>Health, Fitness &amp; Lifestyle</t>
        </is>
      </c>
      <c r="C186" s="24" t="inlineStr">
        <is>
          <t>Yoga for Beginners Video Course</t>
        </is>
      </c>
      <c r="D186" s="24" t="inlineStr">
        <is>
          <t>30 guided sessions for flexibility, back pain and stress.</t>
        </is>
      </c>
      <c r="E186" s="24" t="inlineStr">
        <is>
          <t>Beginners, working professionals</t>
        </is>
      </c>
      <c r="F186" s="24" t="inlineStr">
        <is>
          <t>One-time</t>
        </is>
      </c>
      <c r="G186" s="25" t="n">
        <v>15000</v>
      </c>
      <c r="H186" s="25" t="n">
        <v>999</v>
      </c>
      <c r="I186" s="26">
        <f>H186*(1-Assumptions!$B$6)</f>
        <v/>
      </c>
      <c r="J186" s="27">
        <f>IF(I186&gt;0,CEILING(G186/I186,1),0)</f>
        <v/>
      </c>
      <c r="K186" s="27">
        <f>IF(H186&gt;0,CEILING(Assumptions!$B$4/H186,1),0)</f>
        <v/>
      </c>
      <c r="L186" s="27">
        <f>IF(H186&gt;0,CEILING(Assumptions!$B$5/H186,1),0)</f>
        <v/>
      </c>
      <c r="M186" s="26">
        <f>Assumptions!$B$4*(1-Assumptions!$B$6)-G186</f>
        <v/>
      </c>
      <c r="N186" s="26">
        <f>Assumptions!$B$5*(1-Assumptions!$B$6)-G186</f>
        <v/>
      </c>
      <c r="O186" s="24" t="inlineStr">
        <is>
          <t>Phone camera, Canva, certified trainer/nutritionist review, video hosting</t>
        </is>
      </c>
      <c r="P186" s="24" t="inlineStr">
        <is>
          <t>Own website/app, Instagram, YouTube, WhatsApp communities, corporate HR outreach</t>
        </is>
      </c>
    </row>
    <row r="187">
      <c r="A187" s="19" t="n">
        <v>186</v>
      </c>
      <c r="B187" s="19" t="inlineStr">
        <is>
          <t>Health, Fitness &amp; Lifestyle</t>
        </is>
      </c>
      <c r="C187" s="19" t="inlineStr">
        <is>
          <t>Meditation &amp; Sleep Audio Pack</t>
        </is>
      </c>
      <c r="D187" s="19" t="inlineStr">
        <is>
          <t>Guided meditations and sleep stories in English/Hindi.</t>
        </is>
      </c>
      <c r="E187" s="19" t="inlineStr">
        <is>
          <t>Stressed professionals, students</t>
        </is>
      </c>
      <c r="F187" s="19" t="inlineStr">
        <is>
          <t>One-time</t>
        </is>
      </c>
      <c r="G187" s="28" t="n">
        <v>8000</v>
      </c>
      <c r="H187" s="28" t="n">
        <v>499</v>
      </c>
      <c r="I187" s="29">
        <f>H187*(1-Assumptions!$B$6)</f>
        <v/>
      </c>
      <c r="J187" s="30">
        <f>IF(I187&gt;0,CEILING(G187/I187,1),0)</f>
        <v/>
      </c>
      <c r="K187" s="30">
        <f>IF(H187&gt;0,CEILING(Assumptions!$B$4/H187,1),0)</f>
        <v/>
      </c>
      <c r="L187" s="30">
        <f>IF(H187&gt;0,CEILING(Assumptions!$B$5/H187,1),0)</f>
        <v/>
      </c>
      <c r="M187" s="29">
        <f>Assumptions!$B$4*(1-Assumptions!$B$6)-G187</f>
        <v/>
      </c>
      <c r="N187" s="29">
        <f>Assumptions!$B$5*(1-Assumptions!$B$6)-G187</f>
        <v/>
      </c>
      <c r="O187" s="19" t="inlineStr">
        <is>
          <t>Phone camera, Canva, certified trainer/nutritionist review, video hosting</t>
        </is>
      </c>
      <c r="P187" s="19" t="inlineStr">
        <is>
          <t>Own website/app, Instagram, YouTube, WhatsApp communities, corporate HR outreach</t>
        </is>
      </c>
    </row>
    <row r="188">
      <c r="A188" s="24" t="n">
        <v>187</v>
      </c>
      <c r="B188" s="24" t="inlineStr">
        <is>
          <t>Health, Fitness &amp; Lifestyle</t>
        </is>
      </c>
      <c r="C188" s="24" t="inlineStr">
        <is>
          <t>Habit Tracker &amp; Wellness Journal</t>
        </is>
      </c>
      <c r="D188" s="24" t="inlineStr">
        <is>
          <t>Printable/digital journal for habits, mood and gratitude.</t>
        </is>
      </c>
      <c r="E188" s="24" t="inlineStr">
        <is>
          <t>Self-improvement seekers</t>
        </is>
      </c>
      <c r="F188" s="24" t="inlineStr">
        <is>
          <t>One-time</t>
        </is>
      </c>
      <c r="G188" s="25" t="n">
        <v>2000</v>
      </c>
      <c r="H188" s="25" t="n">
        <v>199</v>
      </c>
      <c r="I188" s="26">
        <f>H188*(1-Assumptions!$B$6)</f>
        <v/>
      </c>
      <c r="J188" s="27">
        <f>IF(I188&gt;0,CEILING(G188/I188,1),0)</f>
        <v/>
      </c>
      <c r="K188" s="27">
        <f>IF(H188&gt;0,CEILING(Assumptions!$B$4/H188,1),0)</f>
        <v/>
      </c>
      <c r="L188" s="27">
        <f>IF(H188&gt;0,CEILING(Assumptions!$B$5/H188,1),0)</f>
        <v/>
      </c>
      <c r="M188" s="26">
        <f>Assumptions!$B$4*(1-Assumptions!$B$6)-G188</f>
        <v/>
      </c>
      <c r="N188" s="26">
        <f>Assumptions!$B$5*(1-Assumptions!$B$6)-G188</f>
        <v/>
      </c>
      <c r="O188" s="24" t="inlineStr">
        <is>
          <t>Phone camera, Canva, certified trainer/nutritionist review, video hosting</t>
        </is>
      </c>
      <c r="P188" s="24" t="inlineStr">
        <is>
          <t>Own website/app, Instagram, YouTube, WhatsApp communities, corporate HR outreach</t>
        </is>
      </c>
    </row>
    <row r="189">
      <c r="A189" s="19" t="n">
        <v>188</v>
      </c>
      <c r="B189" s="19" t="inlineStr">
        <is>
          <t>Health, Fitness &amp; Lifestyle</t>
        </is>
      </c>
      <c r="C189" s="19" t="inlineStr">
        <is>
          <t>Pregnancy Fitness Program</t>
        </is>
      </c>
      <c r="D189" s="19" t="inlineStr">
        <is>
          <t>Trimester-safe exercise videos (certified-trainer led).</t>
        </is>
      </c>
      <c r="E189" s="19" t="inlineStr">
        <is>
          <t>Expecting mothers</t>
        </is>
      </c>
      <c r="F189" s="19" t="inlineStr">
        <is>
          <t>One-time</t>
        </is>
      </c>
      <c r="G189" s="28" t="n">
        <v>10000</v>
      </c>
      <c r="H189" s="28" t="n">
        <v>999</v>
      </c>
      <c r="I189" s="29">
        <f>H189*(1-Assumptions!$B$6)</f>
        <v/>
      </c>
      <c r="J189" s="30">
        <f>IF(I189&gt;0,CEILING(G189/I189,1),0)</f>
        <v/>
      </c>
      <c r="K189" s="30">
        <f>IF(H189&gt;0,CEILING(Assumptions!$B$4/H189,1),0)</f>
        <v/>
      </c>
      <c r="L189" s="30">
        <f>IF(H189&gt;0,CEILING(Assumptions!$B$5/H189,1),0)</f>
        <v/>
      </c>
      <c r="M189" s="29">
        <f>Assumptions!$B$4*(1-Assumptions!$B$6)-G189</f>
        <v/>
      </c>
      <c r="N189" s="29">
        <f>Assumptions!$B$5*(1-Assumptions!$B$6)-G189</f>
        <v/>
      </c>
      <c r="O189" s="19" t="inlineStr">
        <is>
          <t>Phone camera, Canva, certified trainer/nutritionist review, video hosting</t>
        </is>
      </c>
      <c r="P189" s="19" t="inlineStr">
        <is>
          <t>Own website/app, Instagram, YouTube, WhatsApp communities, corporate HR outreach</t>
        </is>
      </c>
    </row>
    <row r="190">
      <c r="A190" s="24" t="n">
        <v>189</v>
      </c>
      <c r="B190" s="24" t="inlineStr">
        <is>
          <t>Health, Fitness &amp; Lifestyle</t>
        </is>
      </c>
      <c r="C190" s="24" t="inlineStr">
        <is>
          <t>Corporate Wellness Program Kit (Licensed)</t>
        </is>
      </c>
      <c r="D190" s="24" t="inlineStr">
        <is>
          <t>Monthly wellness challenges, webinars deck and trackers for employees.</t>
        </is>
      </c>
      <c r="E190" s="24" t="inlineStr">
        <is>
          <t>HR teams at companies with 50+ staff</t>
        </is>
      </c>
      <c r="F190" s="24" t="inlineStr">
        <is>
          <t>Per-company licence</t>
        </is>
      </c>
      <c r="G190" s="25" t="n">
        <v>20000</v>
      </c>
      <c r="H190" s="25" t="n">
        <v>19999</v>
      </c>
      <c r="I190" s="26">
        <f>H190*(1-Assumptions!$B$6)</f>
        <v/>
      </c>
      <c r="J190" s="27">
        <f>IF(I190&gt;0,CEILING(G190/I190,1),0)</f>
        <v/>
      </c>
      <c r="K190" s="27">
        <f>IF(H190&gt;0,CEILING(Assumptions!$B$4/H190,1),0)</f>
        <v/>
      </c>
      <c r="L190" s="27">
        <f>IF(H190&gt;0,CEILING(Assumptions!$B$5/H190,1),0)</f>
        <v/>
      </c>
      <c r="M190" s="26">
        <f>Assumptions!$B$4*(1-Assumptions!$B$6)-G190</f>
        <v/>
      </c>
      <c r="N190" s="26">
        <f>Assumptions!$B$5*(1-Assumptions!$B$6)-G190</f>
        <v/>
      </c>
      <c r="O190" s="24" t="inlineStr">
        <is>
          <t>Phone camera, Canva, certified trainer/nutritionist review, video hosting</t>
        </is>
      </c>
      <c r="P190" s="24" t="inlineStr">
        <is>
          <t>Own website/app, Instagram, YouTube, WhatsApp communities, corporate HR outreach</t>
        </is>
      </c>
    </row>
    <row r="191">
      <c r="A191" s="19" t="n">
        <v>190</v>
      </c>
      <c r="B191" s="19" t="inlineStr">
        <is>
          <t>Health, Fitness &amp; Lifestyle</t>
        </is>
      </c>
      <c r="C191" s="19" t="inlineStr">
        <is>
          <t>Personal Trainer Business Kit</t>
        </is>
      </c>
      <c r="D191" s="19" t="inlineStr">
        <is>
          <t>Client intake forms, program templates, progress trackers and pricing.</t>
        </is>
      </c>
      <c r="E191" s="19" t="inlineStr">
        <is>
          <t>Personal trainers, coaches</t>
        </is>
      </c>
      <c r="F191" s="19" t="inlineStr">
        <is>
          <t>One-time</t>
        </is>
      </c>
      <c r="G191" s="28" t="n">
        <v>5000</v>
      </c>
      <c r="H191" s="28" t="n">
        <v>1499</v>
      </c>
      <c r="I191" s="29">
        <f>H191*(1-Assumptions!$B$6)</f>
        <v/>
      </c>
      <c r="J191" s="30">
        <f>IF(I191&gt;0,CEILING(G191/I191,1),0)</f>
        <v/>
      </c>
      <c r="K191" s="30">
        <f>IF(H191&gt;0,CEILING(Assumptions!$B$4/H191,1),0)</f>
        <v/>
      </c>
      <c r="L191" s="30">
        <f>IF(H191&gt;0,CEILING(Assumptions!$B$5/H191,1),0)</f>
        <v/>
      </c>
      <c r="M191" s="29">
        <f>Assumptions!$B$4*(1-Assumptions!$B$6)-G191</f>
        <v/>
      </c>
      <c r="N191" s="29">
        <f>Assumptions!$B$5*(1-Assumptions!$B$6)-G191</f>
        <v/>
      </c>
      <c r="O191" s="19" t="inlineStr">
        <is>
          <t>Phone camera, Canva, certified trainer/nutritionist review, video hosting</t>
        </is>
      </c>
      <c r="P191" s="19" t="inlineStr">
        <is>
          <t>Own website/app, Instagram, YouTube, WhatsApp communities, corporate HR outreach</t>
        </is>
      </c>
    </row>
    <row r="192">
      <c r="A192" s="24" t="n">
        <v>191</v>
      </c>
      <c r="B192" s="24" t="inlineStr">
        <is>
          <t>Health, Fitness &amp; Lifestyle</t>
        </is>
      </c>
      <c r="C192" s="24" t="inlineStr">
        <is>
          <t>Skincare Routine Guide for Indian Skin</t>
        </is>
      </c>
      <c r="D192" s="24" t="inlineStr">
        <is>
          <t>Routines by skin type, product ingredients and budget options.</t>
        </is>
      </c>
      <c r="E192" s="24" t="inlineStr">
        <is>
          <t>Young adults</t>
        </is>
      </c>
      <c r="F192" s="24" t="inlineStr">
        <is>
          <t>One-time</t>
        </is>
      </c>
      <c r="G192" s="25" t="n">
        <v>3000</v>
      </c>
      <c r="H192" s="25" t="n">
        <v>299</v>
      </c>
      <c r="I192" s="26">
        <f>H192*(1-Assumptions!$B$6)</f>
        <v/>
      </c>
      <c r="J192" s="27">
        <f>IF(I192&gt;0,CEILING(G192/I192,1),0)</f>
        <v/>
      </c>
      <c r="K192" s="27">
        <f>IF(H192&gt;0,CEILING(Assumptions!$B$4/H192,1),0)</f>
        <v/>
      </c>
      <c r="L192" s="27">
        <f>IF(H192&gt;0,CEILING(Assumptions!$B$5/H192,1),0)</f>
        <v/>
      </c>
      <c r="M192" s="26">
        <f>Assumptions!$B$4*(1-Assumptions!$B$6)-G192</f>
        <v/>
      </c>
      <c r="N192" s="26">
        <f>Assumptions!$B$5*(1-Assumptions!$B$6)-G192</f>
        <v/>
      </c>
      <c r="O192" s="24" t="inlineStr">
        <is>
          <t>Phone camera, Canva, certified trainer/nutritionist review, video hosting</t>
        </is>
      </c>
      <c r="P192" s="24" t="inlineStr">
        <is>
          <t>Own website/app, Instagram, YouTube, WhatsApp communities, corporate HR outreach</t>
        </is>
      </c>
    </row>
    <row r="193">
      <c r="A193" s="19" t="n">
        <v>192</v>
      </c>
      <c r="B193" s="19" t="inlineStr">
        <is>
          <t>Health, Fitness &amp; Lifestyle</t>
        </is>
      </c>
      <c r="C193" s="19" t="inlineStr">
        <is>
          <t>Meal Prep Planner &amp; Grocery Lists</t>
        </is>
      </c>
      <c r="D193" s="19" t="inlineStr">
        <is>
          <t>Weekly planners with auto-generated grocery lists.</t>
        </is>
      </c>
      <c r="E193" s="19" t="inlineStr">
        <is>
          <t>Working couples, families</t>
        </is>
      </c>
      <c r="F193" s="19" t="inlineStr">
        <is>
          <t>One-time</t>
        </is>
      </c>
      <c r="G193" s="28" t="n">
        <v>2000</v>
      </c>
      <c r="H193" s="28" t="n">
        <v>199</v>
      </c>
      <c r="I193" s="29">
        <f>H193*(1-Assumptions!$B$6)</f>
        <v/>
      </c>
      <c r="J193" s="30">
        <f>IF(I193&gt;0,CEILING(G193/I193,1),0)</f>
        <v/>
      </c>
      <c r="K193" s="30">
        <f>IF(H193&gt;0,CEILING(Assumptions!$B$4/H193,1),0)</f>
        <v/>
      </c>
      <c r="L193" s="30">
        <f>IF(H193&gt;0,CEILING(Assumptions!$B$5/H193,1),0)</f>
        <v/>
      </c>
      <c r="M193" s="29">
        <f>Assumptions!$B$4*(1-Assumptions!$B$6)-G193</f>
        <v/>
      </c>
      <c r="N193" s="29">
        <f>Assumptions!$B$5*(1-Assumptions!$B$6)-G193</f>
        <v/>
      </c>
      <c r="O193" s="19" t="inlineStr">
        <is>
          <t>Phone camera, Canva, certified trainer/nutritionist review, video hosting</t>
        </is>
      </c>
      <c r="P193" s="19" t="inlineStr">
        <is>
          <t>Own website/app, Instagram, YouTube, WhatsApp communities, corporate HR outreach</t>
        </is>
      </c>
    </row>
    <row r="194">
      <c r="A194" s="24" t="n">
        <v>193</v>
      </c>
      <c r="B194" s="24" t="inlineStr">
        <is>
          <t>Health, Fitness &amp; Lifestyle</t>
        </is>
      </c>
      <c r="C194" s="24" t="inlineStr">
        <is>
          <t>Senior Citizen Fitness Program</t>
        </is>
      </c>
      <c r="D194" s="24" t="inlineStr">
        <is>
          <t>Gentle mobility and balance exercises on video.</t>
        </is>
      </c>
      <c r="E194" s="24" t="inlineStr">
        <is>
          <t>Seniors and their children</t>
        </is>
      </c>
      <c r="F194" s="24" t="inlineStr">
        <is>
          <t>One-time</t>
        </is>
      </c>
      <c r="G194" s="25" t="n">
        <v>10000</v>
      </c>
      <c r="H194" s="25" t="n">
        <v>799</v>
      </c>
      <c r="I194" s="26">
        <f>H194*(1-Assumptions!$B$6)</f>
        <v/>
      </c>
      <c r="J194" s="27">
        <f>IF(I194&gt;0,CEILING(G194/I194,1),0)</f>
        <v/>
      </c>
      <c r="K194" s="27">
        <f>IF(H194&gt;0,CEILING(Assumptions!$B$4/H194,1),0)</f>
        <v/>
      </c>
      <c r="L194" s="27">
        <f>IF(H194&gt;0,CEILING(Assumptions!$B$5/H194,1),0)</f>
        <v/>
      </c>
      <c r="M194" s="26">
        <f>Assumptions!$B$4*(1-Assumptions!$B$6)-G194</f>
        <v/>
      </c>
      <c r="N194" s="26">
        <f>Assumptions!$B$5*(1-Assumptions!$B$6)-G194</f>
        <v/>
      </c>
      <c r="O194" s="24" t="inlineStr">
        <is>
          <t>Phone camera, Canva, certified trainer/nutritionist review, video hosting</t>
        </is>
      </c>
      <c r="P194" s="24" t="inlineStr">
        <is>
          <t>Own website/app, Instagram, YouTube, WhatsApp communities, corporate HR outreach</t>
        </is>
      </c>
    </row>
    <row r="195">
      <c r="A195" s="19" t="n">
        <v>194</v>
      </c>
      <c r="B195" s="19" t="inlineStr">
        <is>
          <t>Health, Fitness &amp; Lifestyle</t>
        </is>
      </c>
      <c r="C195" s="19" t="inlineStr">
        <is>
          <t>Mental Health Self-help Workbook (CBT-based)</t>
        </is>
      </c>
      <c r="D195" s="19" t="inlineStr">
        <is>
          <t>Exercises for anxiety, overthinking and self-esteem (not a therapy replacement).</t>
        </is>
      </c>
      <c r="E195" s="19" t="inlineStr">
        <is>
          <t>Young adults, professionals</t>
        </is>
      </c>
      <c r="F195" s="19" t="inlineStr">
        <is>
          <t>One-time</t>
        </is>
      </c>
      <c r="G195" s="28" t="n">
        <v>5000</v>
      </c>
      <c r="H195" s="28" t="n">
        <v>499</v>
      </c>
      <c r="I195" s="29">
        <f>H195*(1-Assumptions!$B$6)</f>
        <v/>
      </c>
      <c r="J195" s="30">
        <f>IF(I195&gt;0,CEILING(G195/I195,1),0)</f>
        <v/>
      </c>
      <c r="K195" s="30">
        <f>IF(H195&gt;0,CEILING(Assumptions!$B$4/H195,1),0)</f>
        <v/>
      </c>
      <c r="L195" s="30">
        <f>IF(H195&gt;0,CEILING(Assumptions!$B$5/H195,1),0)</f>
        <v/>
      </c>
      <c r="M195" s="29">
        <f>Assumptions!$B$4*(1-Assumptions!$B$6)-G195</f>
        <v/>
      </c>
      <c r="N195" s="29">
        <f>Assumptions!$B$5*(1-Assumptions!$B$6)-G195</f>
        <v/>
      </c>
      <c r="O195" s="19" t="inlineStr">
        <is>
          <t>Phone camera, Canva, certified trainer/nutritionist review, video hosting</t>
        </is>
      </c>
      <c r="P195" s="19" t="inlineStr">
        <is>
          <t>Own website/app, Instagram, YouTube, WhatsApp communities, corporate HR outreach</t>
        </is>
      </c>
    </row>
    <row r="196">
      <c r="A196" s="24" t="n">
        <v>195</v>
      </c>
      <c r="B196" s="24" t="inlineStr">
        <is>
          <t>Health, Fitness &amp; Lifestyle</t>
        </is>
      </c>
      <c r="C196" s="24" t="inlineStr">
        <is>
          <t>Marathon / 10K Training Plan</t>
        </is>
      </c>
      <c r="D196" s="24" t="inlineStr">
        <is>
          <t>Week-wise running plans with strength and nutrition tips.</t>
        </is>
      </c>
      <c r="E196" s="24" t="inlineStr">
        <is>
          <t>Recreational runners</t>
        </is>
      </c>
      <c r="F196" s="24" t="inlineStr">
        <is>
          <t>One-time</t>
        </is>
      </c>
      <c r="G196" s="25" t="n">
        <v>3000</v>
      </c>
      <c r="H196" s="25" t="n">
        <v>499</v>
      </c>
      <c r="I196" s="26">
        <f>H196*(1-Assumptions!$B$6)</f>
        <v/>
      </c>
      <c r="J196" s="27">
        <f>IF(I196&gt;0,CEILING(G196/I196,1),0)</f>
        <v/>
      </c>
      <c r="K196" s="27">
        <f>IF(H196&gt;0,CEILING(Assumptions!$B$4/H196,1),0)</f>
        <v/>
      </c>
      <c r="L196" s="27">
        <f>IF(H196&gt;0,CEILING(Assumptions!$B$5/H196,1),0)</f>
        <v/>
      </c>
      <c r="M196" s="26">
        <f>Assumptions!$B$4*(1-Assumptions!$B$6)-G196</f>
        <v/>
      </c>
      <c r="N196" s="26">
        <f>Assumptions!$B$5*(1-Assumptions!$B$6)-G196</f>
        <v/>
      </c>
      <c r="O196" s="24" t="inlineStr">
        <is>
          <t>Phone camera, Canva, certified trainer/nutritionist review, video hosting</t>
        </is>
      </c>
      <c r="P196" s="24" t="inlineStr">
        <is>
          <t>Own website/app, Instagram, YouTube, WhatsApp communities, corporate HR outreach</t>
        </is>
      </c>
    </row>
    <row r="197">
      <c r="A197" s="19" t="n">
        <v>196</v>
      </c>
      <c r="B197" s="19" t="inlineStr">
        <is>
          <t>Health, Fitness &amp; Lifestyle</t>
        </is>
      </c>
      <c r="C197" s="19" t="inlineStr">
        <is>
          <t>Kids Nutrition &amp; Lunchbox Guide</t>
        </is>
      </c>
      <c r="D197" s="19" t="inlineStr">
        <is>
          <t>Balanced lunchbox ideas and picky-eater strategies.</t>
        </is>
      </c>
      <c r="E197" s="19" t="inlineStr">
        <is>
          <t>Parents</t>
        </is>
      </c>
      <c r="F197" s="19" t="inlineStr">
        <is>
          <t>One-time</t>
        </is>
      </c>
      <c r="G197" s="28" t="n">
        <v>3000</v>
      </c>
      <c r="H197" s="28" t="n">
        <v>299</v>
      </c>
      <c r="I197" s="29">
        <f>H197*(1-Assumptions!$B$6)</f>
        <v/>
      </c>
      <c r="J197" s="30">
        <f>IF(I197&gt;0,CEILING(G197/I197,1),0)</f>
        <v/>
      </c>
      <c r="K197" s="30">
        <f>IF(H197&gt;0,CEILING(Assumptions!$B$4/H197,1),0)</f>
        <v/>
      </c>
      <c r="L197" s="30">
        <f>IF(H197&gt;0,CEILING(Assumptions!$B$5/H197,1),0)</f>
        <v/>
      </c>
      <c r="M197" s="29">
        <f>Assumptions!$B$4*(1-Assumptions!$B$6)-G197</f>
        <v/>
      </c>
      <c r="N197" s="29">
        <f>Assumptions!$B$5*(1-Assumptions!$B$6)-G197</f>
        <v/>
      </c>
      <c r="O197" s="19" t="inlineStr">
        <is>
          <t>Phone camera, Canva, certified trainer/nutritionist review, video hosting</t>
        </is>
      </c>
      <c r="P197" s="19" t="inlineStr">
        <is>
          <t>Own website/app, Instagram, YouTube, WhatsApp communities, corporate HR outreach</t>
        </is>
      </c>
    </row>
    <row r="198">
      <c r="A198" s="24" t="n">
        <v>197</v>
      </c>
      <c r="B198" s="24" t="inlineStr">
        <is>
          <t>Health, Fitness &amp; Lifestyle</t>
        </is>
      </c>
      <c r="C198" s="24" t="inlineStr">
        <is>
          <t>Dietitian Client Management Templates</t>
        </is>
      </c>
      <c r="D198" s="24" t="inlineStr">
        <is>
          <t>Intake forms, diet chart templates and follow-up tracker.</t>
        </is>
      </c>
      <c r="E198" s="24" t="inlineStr">
        <is>
          <t>Dietitians, nutrition coaches</t>
        </is>
      </c>
      <c r="F198" s="24" t="inlineStr">
        <is>
          <t>One-time</t>
        </is>
      </c>
      <c r="G198" s="25" t="n">
        <v>4000</v>
      </c>
      <c r="H198" s="25" t="n">
        <v>1499</v>
      </c>
      <c r="I198" s="26">
        <f>H198*(1-Assumptions!$B$6)</f>
        <v/>
      </c>
      <c r="J198" s="27">
        <f>IF(I198&gt;0,CEILING(G198/I198,1),0)</f>
        <v/>
      </c>
      <c r="K198" s="27">
        <f>IF(H198&gt;0,CEILING(Assumptions!$B$4/H198,1),0)</f>
        <v/>
      </c>
      <c r="L198" s="27">
        <f>IF(H198&gt;0,CEILING(Assumptions!$B$5/H198,1),0)</f>
        <v/>
      </c>
      <c r="M198" s="26">
        <f>Assumptions!$B$4*(1-Assumptions!$B$6)-G198</f>
        <v/>
      </c>
      <c r="N198" s="26">
        <f>Assumptions!$B$5*(1-Assumptions!$B$6)-G198</f>
        <v/>
      </c>
      <c r="O198" s="24" t="inlineStr">
        <is>
          <t>Phone camera, Canva, certified trainer/nutritionist review, video hosting</t>
        </is>
      </c>
      <c r="P198" s="24" t="inlineStr">
        <is>
          <t>Own website/app, Instagram, YouTube, WhatsApp communities, corporate HR outreach</t>
        </is>
      </c>
    </row>
    <row r="199">
      <c r="A199" s="19" t="n">
        <v>198</v>
      </c>
      <c r="B199" s="19" t="inlineStr">
        <is>
          <t>Health, Fitness &amp; Lifestyle</t>
        </is>
      </c>
      <c r="C199" s="19" t="inlineStr">
        <is>
          <t>Online Fitness Challenge Membership</t>
        </is>
      </c>
      <c r="D199" s="19" t="inlineStr">
        <is>
          <t>Monthly guided challenges with community and leaderboards.</t>
        </is>
      </c>
      <c r="E199" s="19" t="inlineStr">
        <is>
          <t>Fitness enthusiasts</t>
        </is>
      </c>
      <c r="F199" s="19" t="inlineStr">
        <is>
          <t>Monthly subscription</t>
        </is>
      </c>
      <c r="G199" s="28" t="n">
        <v>5000</v>
      </c>
      <c r="H199" s="28" t="n">
        <v>499</v>
      </c>
      <c r="I199" s="29">
        <f>H199*(1-Assumptions!$B$6)</f>
        <v/>
      </c>
      <c r="J199" s="30">
        <f>IF(I199&gt;0,CEILING(G199/I199,1),0)</f>
        <v/>
      </c>
      <c r="K199" s="30">
        <f>IF(H199&gt;0,CEILING(Assumptions!$B$4/H199,1),0)</f>
        <v/>
      </c>
      <c r="L199" s="30">
        <f>IF(H199&gt;0,CEILING(Assumptions!$B$5/H199,1),0)</f>
        <v/>
      </c>
      <c r="M199" s="29">
        <f>Assumptions!$B$4*(1-Assumptions!$B$6)-G199</f>
        <v/>
      </c>
      <c r="N199" s="29">
        <f>Assumptions!$B$5*(1-Assumptions!$B$6)-G199</f>
        <v/>
      </c>
      <c r="O199" s="19" t="inlineStr">
        <is>
          <t>Phone camera, Canva, certified trainer/nutritionist review, video hosting</t>
        </is>
      </c>
      <c r="P199" s="19" t="inlineStr">
        <is>
          <t>Own website/app, Instagram, YouTube, WhatsApp communities, corporate HR outreach</t>
        </is>
      </c>
    </row>
    <row r="200">
      <c r="A200" s="24" t="n">
        <v>199</v>
      </c>
      <c r="B200" s="24" t="inlineStr">
        <is>
          <t>Creative Media: Audio, Video, Photo &amp; Stock</t>
        </is>
      </c>
      <c r="C200" s="24" t="inlineStr">
        <is>
          <t>Lightroom Presets (Indian Skin Tones &amp; Weddings)</t>
        </is>
      </c>
      <c r="D200" s="24" t="inlineStr">
        <is>
          <t>One-click edits tuned for Indian skin tones and wedding lighting.</t>
        </is>
      </c>
      <c r="E200" s="24" t="inlineStr">
        <is>
          <t>Photographers, Instagram users</t>
        </is>
      </c>
      <c r="F200" s="24" t="inlineStr">
        <is>
          <t>One-time</t>
        </is>
      </c>
      <c r="G200" s="25" t="n">
        <v>3000</v>
      </c>
      <c r="H200" s="25" t="n">
        <v>499</v>
      </c>
      <c r="I200" s="26">
        <f>H200*(1-Assumptions!$B$6)</f>
        <v/>
      </c>
      <c r="J200" s="27">
        <f>IF(I200&gt;0,CEILING(G200/I200,1),0)</f>
        <v/>
      </c>
      <c r="K200" s="27">
        <f>IF(H200&gt;0,CEILING(Assumptions!$B$4/H200,1),0)</f>
        <v/>
      </c>
      <c r="L200" s="27">
        <f>IF(H200&gt;0,CEILING(Assumptions!$B$5/H200,1),0)</f>
        <v/>
      </c>
      <c r="M200" s="26">
        <f>Assumptions!$B$4*(1-Assumptions!$B$6)-G200</f>
        <v/>
      </c>
      <c r="N200" s="26">
        <f>Assumptions!$B$5*(1-Assumptions!$B$6)-G200</f>
        <v/>
      </c>
      <c r="O200" s="24" t="inlineStr">
        <is>
          <t>Camera/phone, Lightroom, Premiere/After Effects/CapCut, DAW (FL Studio/Audacity), Blender</t>
        </is>
      </c>
      <c r="P200" s="24" t="inlineStr">
        <is>
          <t>Own website, Envato/Adobe Stock/Shutterstock, Etsy, Instagram, YouTube</t>
        </is>
      </c>
    </row>
    <row r="201">
      <c r="A201" s="19" t="n">
        <v>200</v>
      </c>
      <c r="B201" s="19" t="inlineStr">
        <is>
          <t>Creative Media: Audio, Video, Photo &amp; Stock</t>
        </is>
      </c>
      <c r="C201" s="19" t="inlineStr">
        <is>
          <t>Cinematic LUTs for Video Editors</t>
        </is>
      </c>
      <c r="D201" s="19" t="inlineStr">
        <is>
          <t>Colour-grading LUTs for Premiere, DaVinci and CapCut.</t>
        </is>
      </c>
      <c r="E201" s="19" t="inlineStr">
        <is>
          <t>Video editors, filmmakers</t>
        </is>
      </c>
      <c r="F201" s="19" t="inlineStr">
        <is>
          <t>One-time</t>
        </is>
      </c>
      <c r="G201" s="28" t="n">
        <v>4000</v>
      </c>
      <c r="H201" s="28" t="n">
        <v>799</v>
      </c>
      <c r="I201" s="29">
        <f>H201*(1-Assumptions!$B$6)</f>
        <v/>
      </c>
      <c r="J201" s="30">
        <f>IF(I201&gt;0,CEILING(G201/I201,1),0)</f>
        <v/>
      </c>
      <c r="K201" s="30">
        <f>IF(H201&gt;0,CEILING(Assumptions!$B$4/H201,1),0)</f>
        <v/>
      </c>
      <c r="L201" s="30">
        <f>IF(H201&gt;0,CEILING(Assumptions!$B$5/H201,1),0)</f>
        <v/>
      </c>
      <c r="M201" s="29">
        <f>Assumptions!$B$4*(1-Assumptions!$B$6)-G201</f>
        <v/>
      </c>
      <c r="N201" s="29">
        <f>Assumptions!$B$5*(1-Assumptions!$B$6)-G201</f>
        <v/>
      </c>
      <c r="O201" s="19" t="inlineStr">
        <is>
          <t>Camera/phone, Lightroom, Premiere/After Effects/CapCut, DAW (FL Studio/Audacity), Blender</t>
        </is>
      </c>
      <c r="P201" s="19" t="inlineStr">
        <is>
          <t>Own website, Envato/Adobe Stock/Shutterstock, Etsy, Instagram, YouTube</t>
        </is>
      </c>
    </row>
    <row r="202">
      <c r="A202" s="24" t="n">
        <v>201</v>
      </c>
      <c r="B202" s="24" t="inlineStr">
        <is>
          <t>Creative Media: Audio, Video, Photo &amp; Stock</t>
        </is>
      </c>
      <c r="C202" s="24" t="inlineStr">
        <is>
          <t>Indian Lifestyle &amp; Business Stock Photos</t>
        </is>
      </c>
      <c r="D202" s="24" t="inlineStr">
        <is>
          <t>Authentic Indian people, offices and street photos (with model releases).</t>
        </is>
      </c>
      <c r="E202" s="24" t="inlineStr">
        <is>
          <t>Designers, agencies, brands</t>
        </is>
      </c>
      <c r="F202" s="24" t="inlineStr">
        <is>
          <t>One-time</t>
        </is>
      </c>
      <c r="G202" s="25" t="n">
        <v>15000</v>
      </c>
      <c r="H202" s="25" t="n">
        <v>999</v>
      </c>
      <c r="I202" s="26">
        <f>H202*(1-Assumptions!$B$6)</f>
        <v/>
      </c>
      <c r="J202" s="27">
        <f>IF(I202&gt;0,CEILING(G202/I202,1),0)</f>
        <v/>
      </c>
      <c r="K202" s="27">
        <f>IF(H202&gt;0,CEILING(Assumptions!$B$4/H202,1),0)</f>
        <v/>
      </c>
      <c r="L202" s="27">
        <f>IF(H202&gt;0,CEILING(Assumptions!$B$5/H202,1),0)</f>
        <v/>
      </c>
      <c r="M202" s="26">
        <f>Assumptions!$B$4*(1-Assumptions!$B$6)-G202</f>
        <v/>
      </c>
      <c r="N202" s="26">
        <f>Assumptions!$B$5*(1-Assumptions!$B$6)-G202</f>
        <v/>
      </c>
      <c r="O202" s="24" t="inlineStr">
        <is>
          <t>Camera/phone, Lightroom, Premiere/After Effects/CapCut, DAW (FL Studio/Audacity), Blender</t>
        </is>
      </c>
      <c r="P202" s="24" t="inlineStr">
        <is>
          <t>Own website, Envato/Adobe Stock/Shutterstock, Etsy, Instagram, YouTube</t>
        </is>
      </c>
    </row>
    <row r="203">
      <c r="A203" s="19" t="n">
        <v>202</v>
      </c>
      <c r="B203" s="19" t="inlineStr">
        <is>
          <t>Creative Media: Audio, Video, Photo &amp; Stock</t>
        </is>
      </c>
      <c r="C203" s="19" t="inlineStr">
        <is>
          <t>Stock B-roll Videos of Indian Cities</t>
        </is>
      </c>
      <c r="D203" s="19" t="inlineStr">
        <is>
          <t>4K footage of cities, markets, festivals and landmarks.</t>
        </is>
      </c>
      <c r="E203" s="19" t="inlineStr">
        <is>
          <t>YouTubers, ad agencies</t>
        </is>
      </c>
      <c r="F203" s="19" t="inlineStr">
        <is>
          <t>One-time</t>
        </is>
      </c>
      <c r="G203" s="28" t="n">
        <v>20000</v>
      </c>
      <c r="H203" s="28" t="n">
        <v>1499</v>
      </c>
      <c r="I203" s="29">
        <f>H203*(1-Assumptions!$B$6)</f>
        <v/>
      </c>
      <c r="J203" s="30">
        <f>IF(I203&gt;0,CEILING(G203/I203,1),0)</f>
        <v/>
      </c>
      <c r="K203" s="30">
        <f>IF(H203&gt;0,CEILING(Assumptions!$B$4/H203,1),0)</f>
        <v/>
      </c>
      <c r="L203" s="30">
        <f>IF(H203&gt;0,CEILING(Assumptions!$B$5/H203,1),0)</f>
        <v/>
      </c>
      <c r="M203" s="29">
        <f>Assumptions!$B$4*(1-Assumptions!$B$6)-G203</f>
        <v/>
      </c>
      <c r="N203" s="29">
        <f>Assumptions!$B$5*(1-Assumptions!$B$6)-G203</f>
        <v/>
      </c>
      <c r="O203" s="19" t="inlineStr">
        <is>
          <t>Camera/phone, Lightroom, Premiere/After Effects/CapCut, DAW (FL Studio/Audacity), Blender</t>
        </is>
      </c>
      <c r="P203" s="19" t="inlineStr">
        <is>
          <t>Own website, Envato/Adobe Stock/Shutterstock, Etsy, Instagram, YouTube</t>
        </is>
      </c>
    </row>
    <row r="204">
      <c r="A204" s="24" t="n">
        <v>203</v>
      </c>
      <c r="B204" s="24" t="inlineStr">
        <is>
          <t>Creative Media: Audio, Video, Photo &amp; Stock</t>
        </is>
      </c>
      <c r="C204" s="24" t="inlineStr">
        <is>
          <t>Royalty-free Background Music Pack</t>
        </is>
      </c>
      <c r="D204" s="24" t="inlineStr">
        <is>
          <t>Original tracks licensed for YouTube, ads and reels.</t>
        </is>
      </c>
      <c r="E204" s="24" t="inlineStr">
        <is>
          <t>Creators, agencies</t>
        </is>
      </c>
      <c r="F204" s="24" t="inlineStr">
        <is>
          <t>One-time</t>
        </is>
      </c>
      <c r="G204" s="25" t="n">
        <v>10000</v>
      </c>
      <c r="H204" s="25" t="n">
        <v>999</v>
      </c>
      <c r="I204" s="26">
        <f>H204*(1-Assumptions!$B$6)</f>
        <v/>
      </c>
      <c r="J204" s="27">
        <f>IF(I204&gt;0,CEILING(G204/I204,1),0)</f>
        <v/>
      </c>
      <c r="K204" s="27">
        <f>IF(H204&gt;0,CEILING(Assumptions!$B$4/H204,1),0)</f>
        <v/>
      </c>
      <c r="L204" s="27">
        <f>IF(H204&gt;0,CEILING(Assumptions!$B$5/H204,1),0)</f>
        <v/>
      </c>
      <c r="M204" s="26">
        <f>Assumptions!$B$4*(1-Assumptions!$B$6)-G204</f>
        <v/>
      </c>
      <c r="N204" s="26">
        <f>Assumptions!$B$5*(1-Assumptions!$B$6)-G204</f>
        <v/>
      </c>
      <c r="O204" s="24" t="inlineStr">
        <is>
          <t>Camera/phone, Lightroom, Premiere/After Effects/CapCut, DAW (FL Studio/Audacity), Blender</t>
        </is>
      </c>
      <c r="P204" s="24" t="inlineStr">
        <is>
          <t>Own website, Envato/Adobe Stock/Shutterstock, Etsy, Instagram, YouTube</t>
        </is>
      </c>
    </row>
    <row r="205">
      <c r="A205" s="19" t="n">
        <v>204</v>
      </c>
      <c r="B205" s="19" t="inlineStr">
        <is>
          <t>Creative Media: Audio, Video, Photo &amp; Stock</t>
        </is>
      </c>
      <c r="C205" s="19" t="inlineStr">
        <is>
          <t>Sound Effects Library</t>
        </is>
      </c>
      <c r="D205" s="19" t="inlineStr">
        <is>
          <t>Transitions, whooshes, UI sounds and ambience.</t>
        </is>
      </c>
      <c r="E205" s="19" t="inlineStr">
        <is>
          <t>Video editors, game developers</t>
        </is>
      </c>
      <c r="F205" s="19" t="inlineStr">
        <is>
          <t>One-time</t>
        </is>
      </c>
      <c r="G205" s="28" t="n">
        <v>5000</v>
      </c>
      <c r="H205" s="28" t="n">
        <v>499</v>
      </c>
      <c r="I205" s="29">
        <f>H205*(1-Assumptions!$B$6)</f>
        <v/>
      </c>
      <c r="J205" s="30">
        <f>IF(I205&gt;0,CEILING(G205/I205,1),0)</f>
        <v/>
      </c>
      <c r="K205" s="30">
        <f>IF(H205&gt;0,CEILING(Assumptions!$B$4/H205,1),0)</f>
        <v/>
      </c>
      <c r="L205" s="30">
        <f>IF(H205&gt;0,CEILING(Assumptions!$B$5/H205,1),0)</f>
        <v/>
      </c>
      <c r="M205" s="29">
        <f>Assumptions!$B$4*(1-Assumptions!$B$6)-G205</f>
        <v/>
      </c>
      <c r="N205" s="29">
        <f>Assumptions!$B$5*(1-Assumptions!$B$6)-G205</f>
        <v/>
      </c>
      <c r="O205" s="19" t="inlineStr">
        <is>
          <t>Camera/phone, Lightroom, Premiere/After Effects/CapCut, DAW (FL Studio/Audacity), Blender</t>
        </is>
      </c>
      <c r="P205" s="19" t="inlineStr">
        <is>
          <t>Own website, Envato/Adobe Stock/Shutterstock, Etsy, Instagram, YouTube</t>
        </is>
      </c>
    </row>
    <row r="206">
      <c r="A206" s="24" t="n">
        <v>205</v>
      </c>
      <c r="B206" s="24" t="inlineStr">
        <is>
          <t>Creative Media: Audio, Video, Photo &amp; Stock</t>
        </is>
      </c>
      <c r="C206" s="24" t="inlineStr">
        <is>
          <t>Premiere Pro / After Effects Templates</t>
        </is>
      </c>
      <c r="D206" s="24" t="inlineStr">
        <is>
          <t>Titles, lower-thirds and transitions packs.</t>
        </is>
      </c>
      <c r="E206" s="24" t="inlineStr">
        <is>
          <t>Video editors</t>
        </is>
      </c>
      <c r="F206" s="24" t="inlineStr">
        <is>
          <t>One-time</t>
        </is>
      </c>
      <c r="G206" s="25" t="n">
        <v>8000</v>
      </c>
      <c r="H206" s="25" t="n">
        <v>999</v>
      </c>
      <c r="I206" s="26">
        <f>H206*(1-Assumptions!$B$6)</f>
        <v/>
      </c>
      <c r="J206" s="27">
        <f>IF(I206&gt;0,CEILING(G206/I206,1),0)</f>
        <v/>
      </c>
      <c r="K206" s="27">
        <f>IF(H206&gt;0,CEILING(Assumptions!$B$4/H206,1),0)</f>
        <v/>
      </c>
      <c r="L206" s="27">
        <f>IF(H206&gt;0,CEILING(Assumptions!$B$5/H206,1),0)</f>
        <v/>
      </c>
      <c r="M206" s="26">
        <f>Assumptions!$B$4*(1-Assumptions!$B$6)-G206</f>
        <v/>
      </c>
      <c r="N206" s="26">
        <f>Assumptions!$B$5*(1-Assumptions!$B$6)-G206</f>
        <v/>
      </c>
      <c r="O206" s="24" t="inlineStr">
        <is>
          <t>Camera/phone, Lightroom, Premiere/After Effects/CapCut, DAW (FL Studio/Audacity), Blender</t>
        </is>
      </c>
      <c r="P206" s="24" t="inlineStr">
        <is>
          <t>Own website, Envato/Adobe Stock/Shutterstock, Etsy, Instagram, YouTube</t>
        </is>
      </c>
    </row>
    <row r="207">
      <c r="A207" s="19" t="n">
        <v>206</v>
      </c>
      <c r="B207" s="19" t="inlineStr">
        <is>
          <t>Creative Media: Audio, Video, Photo &amp; Stock</t>
        </is>
      </c>
      <c r="C207" s="19" t="inlineStr">
        <is>
          <t>CapCut Reel Templates</t>
        </is>
      </c>
      <c r="D207" s="19" t="inlineStr">
        <is>
          <t>Trending-style reel templates for quick edits.</t>
        </is>
      </c>
      <c r="E207" s="19" t="inlineStr">
        <is>
          <t>Creators, small brands</t>
        </is>
      </c>
      <c r="F207" s="19" t="inlineStr">
        <is>
          <t>One-time</t>
        </is>
      </c>
      <c r="G207" s="28" t="n">
        <v>3000</v>
      </c>
      <c r="H207" s="28" t="n">
        <v>299</v>
      </c>
      <c r="I207" s="29">
        <f>H207*(1-Assumptions!$B$6)</f>
        <v/>
      </c>
      <c r="J207" s="30">
        <f>IF(I207&gt;0,CEILING(G207/I207,1),0)</f>
        <v/>
      </c>
      <c r="K207" s="30">
        <f>IF(H207&gt;0,CEILING(Assumptions!$B$4/H207,1),0)</f>
        <v/>
      </c>
      <c r="L207" s="30">
        <f>IF(H207&gt;0,CEILING(Assumptions!$B$5/H207,1),0)</f>
        <v/>
      </c>
      <c r="M207" s="29">
        <f>Assumptions!$B$4*(1-Assumptions!$B$6)-G207</f>
        <v/>
      </c>
      <c r="N207" s="29">
        <f>Assumptions!$B$5*(1-Assumptions!$B$6)-G207</f>
        <v/>
      </c>
      <c r="O207" s="19" t="inlineStr">
        <is>
          <t>Camera/phone, Lightroom, Premiere/After Effects/CapCut, DAW (FL Studio/Audacity), Blender</t>
        </is>
      </c>
      <c r="P207" s="19" t="inlineStr">
        <is>
          <t>Own website, Envato/Adobe Stock/Shutterstock, Etsy, Instagram, YouTube</t>
        </is>
      </c>
    </row>
    <row r="208">
      <c r="A208" s="24" t="n">
        <v>207</v>
      </c>
      <c r="B208" s="24" t="inlineStr">
        <is>
          <t>Creative Media: Audio, Video, Photo &amp; Stock</t>
        </is>
      </c>
      <c r="C208" s="24" t="inlineStr">
        <is>
          <t>YouTube Intro / Outro Animation Pack</t>
        </is>
      </c>
      <c r="D208" s="24" t="inlineStr">
        <is>
          <t>Customisable logo reveals and end screens.</t>
        </is>
      </c>
      <c r="E208" s="24" t="inlineStr">
        <is>
          <t>YouTubers</t>
        </is>
      </c>
      <c r="F208" s="24" t="inlineStr">
        <is>
          <t>One-time</t>
        </is>
      </c>
      <c r="G208" s="25" t="n">
        <v>5000</v>
      </c>
      <c r="H208" s="25" t="n">
        <v>499</v>
      </c>
      <c r="I208" s="26">
        <f>H208*(1-Assumptions!$B$6)</f>
        <v/>
      </c>
      <c r="J208" s="27">
        <f>IF(I208&gt;0,CEILING(G208/I208,1),0)</f>
        <v/>
      </c>
      <c r="K208" s="27">
        <f>IF(H208&gt;0,CEILING(Assumptions!$B$4/H208,1),0)</f>
        <v/>
      </c>
      <c r="L208" s="27">
        <f>IF(H208&gt;0,CEILING(Assumptions!$B$5/H208,1),0)</f>
        <v/>
      </c>
      <c r="M208" s="26">
        <f>Assumptions!$B$4*(1-Assumptions!$B$6)-G208</f>
        <v/>
      </c>
      <c r="N208" s="26">
        <f>Assumptions!$B$5*(1-Assumptions!$B$6)-G208</f>
        <v/>
      </c>
      <c r="O208" s="24" t="inlineStr">
        <is>
          <t>Camera/phone, Lightroom, Premiere/After Effects/CapCut, DAW (FL Studio/Audacity), Blender</t>
        </is>
      </c>
      <c r="P208" s="24" t="inlineStr">
        <is>
          <t>Own website, Envato/Adobe Stock/Shutterstock, Etsy, Instagram, YouTube</t>
        </is>
      </c>
    </row>
    <row r="209">
      <c r="A209" s="19" t="n">
        <v>208</v>
      </c>
      <c r="B209" s="19" t="inlineStr">
        <is>
          <t>Creative Media: Audio, Video, Photo &amp; Stock</t>
        </is>
      </c>
      <c r="C209" s="19" t="inlineStr">
        <is>
          <t>Wedding Video Editing Project Files</t>
        </is>
      </c>
      <c r="D209" s="19" t="inlineStr">
        <is>
          <t>Highlight-film templates, titles and music timing guides.</t>
        </is>
      </c>
      <c r="E209" s="19" t="inlineStr">
        <is>
          <t>Wedding videographers</t>
        </is>
      </c>
      <c r="F209" s="19" t="inlineStr">
        <is>
          <t>One-time</t>
        </is>
      </c>
      <c r="G209" s="28" t="n">
        <v>8000</v>
      </c>
      <c r="H209" s="28" t="n">
        <v>1499</v>
      </c>
      <c r="I209" s="29">
        <f>H209*(1-Assumptions!$B$6)</f>
        <v/>
      </c>
      <c r="J209" s="30">
        <f>IF(I209&gt;0,CEILING(G209/I209,1),0)</f>
        <v/>
      </c>
      <c r="K209" s="30">
        <f>IF(H209&gt;0,CEILING(Assumptions!$B$4/H209,1),0)</f>
        <v/>
      </c>
      <c r="L209" s="30">
        <f>IF(H209&gt;0,CEILING(Assumptions!$B$5/H209,1),0)</f>
        <v/>
      </c>
      <c r="M209" s="29">
        <f>Assumptions!$B$4*(1-Assumptions!$B$6)-G209</f>
        <v/>
      </c>
      <c r="N209" s="29">
        <f>Assumptions!$B$5*(1-Assumptions!$B$6)-G209</f>
        <v/>
      </c>
      <c r="O209" s="19" t="inlineStr">
        <is>
          <t>Camera/phone, Lightroom, Premiere/After Effects/CapCut, DAW (FL Studio/Audacity), Blender</t>
        </is>
      </c>
      <c r="P209" s="19" t="inlineStr">
        <is>
          <t>Own website, Envato/Adobe Stock/Shutterstock, Etsy, Instagram, YouTube</t>
        </is>
      </c>
    </row>
    <row r="210">
      <c r="A210" s="24" t="n">
        <v>209</v>
      </c>
      <c r="B210" s="24" t="inlineStr">
        <is>
          <t>Creative Media: Audio, Video, Photo &amp; Stock</t>
        </is>
      </c>
      <c r="C210" s="24" t="inlineStr">
        <is>
          <t>Audio Ad Scripts &amp; Voiceover Pack for Local Business</t>
        </is>
      </c>
      <c r="D210" s="24" t="inlineStr">
        <is>
          <t>Radio/WhatsApp audio-ad scripts with sample voiceovers.</t>
        </is>
      </c>
      <c r="E210" s="24" t="inlineStr">
        <is>
          <t>Local retailers, event organisers</t>
        </is>
      </c>
      <c r="F210" s="24" t="inlineStr">
        <is>
          <t>One-time</t>
        </is>
      </c>
      <c r="G210" s="25" t="n">
        <v>5000</v>
      </c>
      <c r="H210" s="25" t="n">
        <v>999</v>
      </c>
      <c r="I210" s="26">
        <f>H210*(1-Assumptions!$B$6)</f>
        <v/>
      </c>
      <c r="J210" s="27">
        <f>IF(I210&gt;0,CEILING(G210/I210,1),0)</f>
        <v/>
      </c>
      <c r="K210" s="27">
        <f>IF(H210&gt;0,CEILING(Assumptions!$B$4/H210,1),0)</f>
        <v/>
      </c>
      <c r="L210" s="27">
        <f>IF(H210&gt;0,CEILING(Assumptions!$B$5/H210,1),0)</f>
        <v/>
      </c>
      <c r="M210" s="26">
        <f>Assumptions!$B$4*(1-Assumptions!$B$6)-G210</f>
        <v/>
      </c>
      <c r="N210" s="26">
        <f>Assumptions!$B$5*(1-Assumptions!$B$6)-G210</f>
        <v/>
      </c>
      <c r="O210" s="24" t="inlineStr">
        <is>
          <t>Camera/phone, Lightroom, Premiere/After Effects/CapCut, DAW (FL Studio/Audacity), Blender</t>
        </is>
      </c>
      <c r="P210" s="24" t="inlineStr">
        <is>
          <t>Own website, Envato/Adobe Stock/Shutterstock, Etsy, Instagram, YouTube</t>
        </is>
      </c>
    </row>
    <row r="211">
      <c r="A211" s="19" t="n">
        <v>210</v>
      </c>
      <c r="B211" s="19" t="inlineStr">
        <is>
          <t>Creative Media: Audio, Video, Photo &amp; Stock</t>
        </is>
      </c>
      <c r="C211" s="19" t="inlineStr">
        <is>
          <t>Podcast Intro Music &amp; Jingles</t>
        </is>
      </c>
      <c r="D211" s="19" t="inlineStr">
        <is>
          <t>Short branded jingles and stingers.</t>
        </is>
      </c>
      <c r="E211" s="19" t="inlineStr">
        <is>
          <t>Podcasters</t>
        </is>
      </c>
      <c r="F211" s="19" t="inlineStr">
        <is>
          <t>One-time</t>
        </is>
      </c>
      <c r="G211" s="28" t="n">
        <v>5000</v>
      </c>
      <c r="H211" s="28" t="n">
        <v>699</v>
      </c>
      <c r="I211" s="29">
        <f>H211*(1-Assumptions!$B$6)</f>
        <v/>
      </c>
      <c r="J211" s="30">
        <f>IF(I211&gt;0,CEILING(G211/I211,1),0)</f>
        <v/>
      </c>
      <c r="K211" s="30">
        <f>IF(H211&gt;0,CEILING(Assumptions!$B$4/H211,1),0)</f>
        <v/>
      </c>
      <c r="L211" s="30">
        <f>IF(H211&gt;0,CEILING(Assumptions!$B$5/H211,1),0)</f>
        <v/>
      </c>
      <c r="M211" s="29">
        <f>Assumptions!$B$4*(1-Assumptions!$B$6)-G211</f>
        <v/>
      </c>
      <c r="N211" s="29">
        <f>Assumptions!$B$5*(1-Assumptions!$B$6)-G211</f>
        <v/>
      </c>
      <c r="O211" s="19" t="inlineStr">
        <is>
          <t>Camera/phone, Lightroom, Premiere/After Effects/CapCut, DAW (FL Studio/Audacity), Blender</t>
        </is>
      </c>
      <c r="P211" s="19" t="inlineStr">
        <is>
          <t>Own website, Envato/Adobe Stock/Shutterstock, Etsy, Instagram, YouTube</t>
        </is>
      </c>
    </row>
    <row r="212">
      <c r="A212" s="24" t="n">
        <v>211</v>
      </c>
      <c r="B212" s="24" t="inlineStr">
        <is>
          <t>Creative Media: Audio, Video, Photo &amp; Stock</t>
        </is>
      </c>
      <c r="C212" s="24" t="inlineStr">
        <is>
          <t>3D Models / Blender Assets (Indian Props &amp; Architecture)</t>
        </is>
      </c>
      <c r="D212" s="24" t="inlineStr">
        <is>
          <t>Temples, auto-rickshaws, street props for games and animation.</t>
        </is>
      </c>
      <c r="E212" s="24" t="inlineStr">
        <is>
          <t>3D artists, game studios</t>
        </is>
      </c>
      <c r="F212" s="24" t="inlineStr">
        <is>
          <t>One-time</t>
        </is>
      </c>
      <c r="G212" s="25" t="n">
        <v>15000</v>
      </c>
      <c r="H212" s="25" t="n">
        <v>1499</v>
      </c>
      <c r="I212" s="26">
        <f>H212*(1-Assumptions!$B$6)</f>
        <v/>
      </c>
      <c r="J212" s="27">
        <f>IF(I212&gt;0,CEILING(G212/I212,1),0)</f>
        <v/>
      </c>
      <c r="K212" s="27">
        <f>IF(H212&gt;0,CEILING(Assumptions!$B$4/H212,1),0)</f>
        <v/>
      </c>
      <c r="L212" s="27">
        <f>IF(H212&gt;0,CEILING(Assumptions!$B$5/H212,1),0)</f>
        <v/>
      </c>
      <c r="M212" s="26">
        <f>Assumptions!$B$4*(1-Assumptions!$B$6)-G212</f>
        <v/>
      </c>
      <c r="N212" s="26">
        <f>Assumptions!$B$5*(1-Assumptions!$B$6)-G212</f>
        <v/>
      </c>
      <c r="O212" s="24" t="inlineStr">
        <is>
          <t>Camera/phone, Lightroom, Premiere/After Effects/CapCut, DAW (FL Studio/Audacity), Blender</t>
        </is>
      </c>
      <c r="P212" s="24" t="inlineStr">
        <is>
          <t>Own website, Envato/Adobe Stock/Shutterstock, Etsy, Instagram, YouTube</t>
        </is>
      </c>
    </row>
    <row r="213">
      <c r="A213" s="19" t="n">
        <v>212</v>
      </c>
      <c r="B213" s="19" t="inlineStr">
        <is>
          <t>Creative Media: Audio, Video, Photo &amp; Stock</t>
        </is>
      </c>
      <c r="C213" s="19" t="inlineStr">
        <is>
          <t>Procreate Brush Pack</t>
        </is>
      </c>
      <c r="D213" s="19" t="inlineStr">
        <is>
          <t>Texture, lettering and illustration brushes.</t>
        </is>
      </c>
      <c r="E213" s="19" t="inlineStr">
        <is>
          <t>Digital artists</t>
        </is>
      </c>
      <c r="F213" s="19" t="inlineStr">
        <is>
          <t>One-time</t>
        </is>
      </c>
      <c r="G213" s="28" t="n">
        <v>3000</v>
      </c>
      <c r="H213" s="28" t="n">
        <v>399</v>
      </c>
      <c r="I213" s="29">
        <f>H213*(1-Assumptions!$B$6)</f>
        <v/>
      </c>
      <c r="J213" s="30">
        <f>IF(I213&gt;0,CEILING(G213/I213,1),0)</f>
        <v/>
      </c>
      <c r="K213" s="30">
        <f>IF(H213&gt;0,CEILING(Assumptions!$B$4/H213,1),0)</f>
        <v/>
      </c>
      <c r="L213" s="30">
        <f>IF(H213&gt;0,CEILING(Assumptions!$B$5/H213,1),0)</f>
        <v/>
      </c>
      <c r="M213" s="29">
        <f>Assumptions!$B$4*(1-Assumptions!$B$6)-G213</f>
        <v/>
      </c>
      <c r="N213" s="29">
        <f>Assumptions!$B$5*(1-Assumptions!$B$6)-G213</f>
        <v/>
      </c>
      <c r="O213" s="19" t="inlineStr">
        <is>
          <t>Camera/phone, Lightroom, Premiere/After Effects/CapCut, DAW (FL Studio/Audacity), Blender</t>
        </is>
      </c>
      <c r="P213" s="19" t="inlineStr">
        <is>
          <t>Own website, Envato/Adobe Stock/Shutterstock, Etsy, Instagram, YouTube</t>
        </is>
      </c>
    </row>
    <row r="214">
      <c r="A214" s="24" t="n">
        <v>213</v>
      </c>
      <c r="B214" s="24" t="inlineStr">
        <is>
          <t>Creative Media: Audio, Video, Photo &amp; Stock</t>
        </is>
      </c>
      <c r="C214" s="24" t="inlineStr">
        <is>
          <t>Custom Display Font (Devanagari + English)</t>
        </is>
      </c>
      <c r="D214" s="24" t="inlineStr">
        <is>
          <t>Bilingual display font licensed for commercial use.</t>
        </is>
      </c>
      <c r="E214" s="24" t="inlineStr">
        <is>
          <t>Designers, brands</t>
        </is>
      </c>
      <c r="F214" s="24" t="inlineStr">
        <is>
          <t>One-time</t>
        </is>
      </c>
      <c r="G214" s="25" t="n">
        <v>20000</v>
      </c>
      <c r="H214" s="25" t="n">
        <v>1999</v>
      </c>
      <c r="I214" s="26">
        <f>H214*(1-Assumptions!$B$6)</f>
        <v/>
      </c>
      <c r="J214" s="27">
        <f>IF(I214&gt;0,CEILING(G214/I214,1),0)</f>
        <v/>
      </c>
      <c r="K214" s="27">
        <f>IF(H214&gt;0,CEILING(Assumptions!$B$4/H214,1),0)</f>
        <v/>
      </c>
      <c r="L214" s="27">
        <f>IF(H214&gt;0,CEILING(Assumptions!$B$5/H214,1),0)</f>
        <v/>
      </c>
      <c r="M214" s="26">
        <f>Assumptions!$B$4*(1-Assumptions!$B$6)-G214</f>
        <v/>
      </c>
      <c r="N214" s="26">
        <f>Assumptions!$B$5*(1-Assumptions!$B$6)-G214</f>
        <v/>
      </c>
      <c r="O214" s="24" t="inlineStr">
        <is>
          <t>Camera/phone, Lightroom, Premiere/After Effects/CapCut, DAW (FL Studio/Audacity), Blender</t>
        </is>
      </c>
      <c r="P214" s="24" t="inlineStr">
        <is>
          <t>Own website, Envato/Adobe Stock/Shutterstock, Etsy, Instagram, YouTube</t>
        </is>
      </c>
    </row>
    <row r="215">
      <c r="A215" s="19" t="n">
        <v>214</v>
      </c>
      <c r="B215" s="19" t="inlineStr">
        <is>
          <t>Creative Media: Audio, Video, Photo &amp; Stock</t>
        </is>
      </c>
      <c r="C215" s="19" t="inlineStr">
        <is>
          <t>Photographer Business Kit (Posing Guide + Contracts)</t>
        </is>
      </c>
      <c r="D215" s="19" t="inlineStr">
        <is>
          <t>Posing guides, client contracts, pricing guide and questionnaires.</t>
        </is>
      </c>
      <c r="E215" s="19" t="inlineStr">
        <is>
          <t>Photographers</t>
        </is>
      </c>
      <c r="F215" s="19" t="inlineStr">
        <is>
          <t>One-time</t>
        </is>
      </c>
      <c r="G215" s="28" t="n">
        <v>4000</v>
      </c>
      <c r="H215" s="28" t="n">
        <v>999</v>
      </c>
      <c r="I215" s="29">
        <f>H215*(1-Assumptions!$B$6)</f>
        <v/>
      </c>
      <c r="J215" s="30">
        <f>IF(I215&gt;0,CEILING(G215/I215,1),0)</f>
        <v/>
      </c>
      <c r="K215" s="30">
        <f>IF(H215&gt;0,CEILING(Assumptions!$B$4/H215,1),0)</f>
        <v/>
      </c>
      <c r="L215" s="30">
        <f>IF(H215&gt;0,CEILING(Assumptions!$B$5/H215,1),0)</f>
        <v/>
      </c>
      <c r="M215" s="29">
        <f>Assumptions!$B$4*(1-Assumptions!$B$6)-G215</f>
        <v/>
      </c>
      <c r="N215" s="29">
        <f>Assumptions!$B$5*(1-Assumptions!$B$6)-G215</f>
        <v/>
      </c>
      <c r="O215" s="19" t="inlineStr">
        <is>
          <t>Camera/phone, Lightroom, Premiere/After Effects/CapCut, DAW (FL Studio/Audacity), Blender</t>
        </is>
      </c>
      <c r="P215" s="19" t="inlineStr">
        <is>
          <t>Own website, Envato/Adobe Stock/Shutterstock, Etsy, Instagram, YouTube</t>
        </is>
      </c>
    </row>
    <row r="216">
      <c r="A216" s="24" t="n">
        <v>215</v>
      </c>
      <c r="B216" s="24" t="inlineStr">
        <is>
          <t>Creative Media: Audio, Video, Photo &amp; Stock</t>
        </is>
      </c>
      <c r="C216" s="24" t="inlineStr">
        <is>
          <t>Animated Explainer Video Templates</t>
        </is>
      </c>
      <c r="D216" s="24" t="inlineStr">
        <is>
          <t>Editable explainer scenes for products and services.</t>
        </is>
      </c>
      <c r="E216" s="24" t="inlineStr">
        <is>
          <t>Startups, marketers</t>
        </is>
      </c>
      <c r="F216" s="24" t="inlineStr">
        <is>
          <t>One-time</t>
        </is>
      </c>
      <c r="G216" s="25" t="n">
        <v>10000</v>
      </c>
      <c r="H216" s="25" t="n">
        <v>2499</v>
      </c>
      <c r="I216" s="26">
        <f>H216*(1-Assumptions!$B$6)</f>
        <v/>
      </c>
      <c r="J216" s="27">
        <f>IF(I216&gt;0,CEILING(G216/I216,1),0)</f>
        <v/>
      </c>
      <c r="K216" s="27">
        <f>IF(H216&gt;0,CEILING(Assumptions!$B$4/H216,1),0)</f>
        <v/>
      </c>
      <c r="L216" s="27">
        <f>IF(H216&gt;0,CEILING(Assumptions!$B$5/H216,1),0)</f>
        <v/>
      </c>
      <c r="M216" s="26">
        <f>Assumptions!$B$4*(1-Assumptions!$B$6)-G216</f>
        <v/>
      </c>
      <c r="N216" s="26">
        <f>Assumptions!$B$5*(1-Assumptions!$B$6)-G216</f>
        <v/>
      </c>
      <c r="O216" s="24" t="inlineStr">
        <is>
          <t>Camera/phone, Lightroom, Premiere/After Effects/CapCut, DAW (FL Studio/Audacity), Blender</t>
        </is>
      </c>
      <c r="P216" s="24" t="inlineStr">
        <is>
          <t>Own website, Envato/Adobe Stock/Shutterstock, Etsy, Instagram, YouTube</t>
        </is>
      </c>
    </row>
    <row r="217">
      <c r="A217" s="19" t="n">
        <v>216</v>
      </c>
      <c r="B217" s="19" t="inlineStr">
        <is>
          <t>Creative Media: Audio, Video, Photo &amp; Stock</t>
        </is>
      </c>
      <c r="C217" s="19" t="inlineStr">
        <is>
          <t>Corporate Event Video Template Pack</t>
        </is>
      </c>
      <c r="D217" s="19" t="inlineStr">
        <is>
          <t>Annual-day, awards and launch-event video templates.</t>
        </is>
      </c>
      <c r="E217" s="19" t="inlineStr">
        <is>
          <t>Corporate comms &amp; event agencies</t>
        </is>
      </c>
      <c r="F217" s="19" t="inlineStr">
        <is>
          <t>One-time</t>
        </is>
      </c>
      <c r="G217" s="28" t="n">
        <v>8000</v>
      </c>
      <c r="H217" s="28" t="n">
        <v>1999</v>
      </c>
      <c r="I217" s="29">
        <f>H217*(1-Assumptions!$B$6)</f>
        <v/>
      </c>
      <c r="J217" s="30">
        <f>IF(I217&gt;0,CEILING(G217/I217,1),0)</f>
        <v/>
      </c>
      <c r="K217" s="30">
        <f>IF(H217&gt;0,CEILING(Assumptions!$B$4/H217,1),0)</f>
        <v/>
      </c>
      <c r="L217" s="30">
        <f>IF(H217&gt;0,CEILING(Assumptions!$B$5/H217,1),0)</f>
        <v/>
      </c>
      <c r="M217" s="29">
        <f>Assumptions!$B$4*(1-Assumptions!$B$6)-G217</f>
        <v/>
      </c>
      <c r="N217" s="29">
        <f>Assumptions!$B$5*(1-Assumptions!$B$6)-G217</f>
        <v/>
      </c>
      <c r="O217" s="19" t="inlineStr">
        <is>
          <t>Camera/phone, Lightroom, Premiere/After Effects/CapCut, DAW (FL Studio/Audacity), Blender</t>
        </is>
      </c>
      <c r="P217" s="19" t="inlineStr">
        <is>
          <t>Own website, Envato/Adobe Stock/Shutterstock, Etsy, Instagram, YouTube</t>
        </is>
      </c>
    </row>
  </sheetData>
  <autoFilter ref="A1:P21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2026-09-23T14:50:09Z</dcterms:created>
  <dcterms:modified xsi:type="dcterms:W3CDTF">2026-09-23T14:50:09Z</dcterms:modified>
</cp:coreProperties>
</file>